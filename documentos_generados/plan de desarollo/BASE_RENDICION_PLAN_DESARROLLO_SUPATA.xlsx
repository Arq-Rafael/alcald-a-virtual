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d.docs.live.net/fc7b93dcf5869a61/SUPATA 2024-2027/2024-2025/B- RENDICION DE CUENTA/RendicionSupata/data/"/>
    </mc:Choice>
  </mc:AlternateContent>
  <xr:revisionPtr revIDLastSave="16" documentId="13_ncr:1_{889CABBD-D1D2-46A1-B975-85287E52D1A5}" xr6:coauthVersionLast="47" xr6:coauthVersionMax="47" xr10:uidLastSave="{C65CAF69-B226-4ECF-A870-634E1462C156}"/>
  <bookViews>
    <workbookView xWindow="-120" yWindow="-120" windowWidth="29040" windowHeight="15720" activeTab="4" xr2:uid="{00000000-000D-0000-FFFF-FFFF00000000}"/>
  </bookViews>
  <sheets>
    <sheet name="INSTRUCCIONES" sheetId="1" r:id="rId1"/>
    <sheet name="PLAN_DESARROLLO" sheetId="2" r:id="rId2"/>
    <sheet name="SECRETARIAS" sheetId="3" r:id="rId3"/>
    <sheet name="LISTAS" sheetId="4" state="hidden" r:id="rId4"/>
    <sheet name="REGISTRO_AVANCES" sheetId="5" r:id="rId5"/>
  </sheets>
  <externalReferences>
    <externalReference r:id="rId6"/>
    <externalReference r:id="rId7"/>
    <externalReference r:id="rId8"/>
    <externalReference r:id="rId9"/>
  </externalReferences>
  <definedNames>
    <definedName name="_xlnm._FilterDatabase" localSheetId="4" hidden="1">REGISTRO_AVANCES!$A$1:$U$1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393" i="5" l="1"/>
  <c r="M393" i="5"/>
  <c r="J393" i="5"/>
  <c r="G393" i="5"/>
  <c r="F393" i="5"/>
  <c r="E393" i="5"/>
  <c r="D393" i="5"/>
  <c r="T392" i="5"/>
  <c r="M392" i="5"/>
  <c r="J392" i="5"/>
  <c r="G392" i="5"/>
  <c r="F392" i="5"/>
  <c r="E392" i="5"/>
  <c r="D392" i="5"/>
  <c r="T391" i="5"/>
  <c r="M391" i="5"/>
  <c r="J391" i="5"/>
  <c r="G391" i="5"/>
  <c r="F391" i="5"/>
  <c r="E391" i="5"/>
  <c r="D391" i="5"/>
  <c r="T390" i="5"/>
  <c r="M390" i="5"/>
  <c r="J390" i="5"/>
  <c r="G390" i="5"/>
  <c r="F390" i="5"/>
  <c r="E390" i="5"/>
  <c r="D390" i="5"/>
  <c r="T389" i="5"/>
  <c r="M389" i="5"/>
  <c r="J389" i="5"/>
  <c r="G389" i="5"/>
  <c r="F389" i="5"/>
  <c r="E389" i="5"/>
  <c r="D389" i="5"/>
  <c r="T388" i="5"/>
  <c r="M388" i="5"/>
  <c r="J388" i="5"/>
  <c r="G388" i="5"/>
  <c r="F388" i="5"/>
  <c r="E388" i="5"/>
  <c r="D388" i="5"/>
  <c r="T387" i="5"/>
  <c r="M387" i="5"/>
  <c r="J387" i="5"/>
  <c r="G387" i="5"/>
  <c r="F387" i="5"/>
  <c r="E387" i="5"/>
  <c r="D387" i="5"/>
  <c r="T386" i="5"/>
  <c r="M386" i="5"/>
  <c r="J386" i="5"/>
  <c r="G386" i="5"/>
  <c r="F386" i="5"/>
  <c r="E386" i="5"/>
  <c r="D386" i="5"/>
  <c r="T385" i="5"/>
  <c r="M385" i="5"/>
  <c r="J385" i="5"/>
  <c r="G385" i="5"/>
  <c r="F385" i="5"/>
  <c r="E385" i="5"/>
  <c r="D385" i="5"/>
  <c r="T384" i="5"/>
  <c r="M384" i="5"/>
  <c r="J384" i="5"/>
  <c r="G384" i="5"/>
  <c r="F384" i="5"/>
  <c r="E384" i="5"/>
  <c r="D384" i="5"/>
  <c r="T383" i="5"/>
  <c r="M383" i="5"/>
  <c r="J383" i="5"/>
  <c r="G383" i="5"/>
  <c r="F383" i="5"/>
  <c r="E383" i="5"/>
  <c r="D383" i="5"/>
  <c r="T382" i="5"/>
  <c r="M382" i="5"/>
  <c r="J382" i="5"/>
  <c r="G382" i="5"/>
  <c r="F382" i="5"/>
  <c r="E382" i="5"/>
  <c r="D382" i="5"/>
  <c r="T381" i="5"/>
  <c r="M381" i="5"/>
  <c r="J381" i="5"/>
  <c r="G381" i="5"/>
  <c r="F381" i="5"/>
  <c r="E381" i="5"/>
  <c r="D381" i="5"/>
  <c r="T380" i="5"/>
  <c r="M380" i="5"/>
  <c r="J380" i="5"/>
  <c r="G380" i="5"/>
  <c r="F380" i="5"/>
  <c r="E380" i="5"/>
  <c r="D380" i="5"/>
  <c r="T379" i="5"/>
  <c r="M379" i="5"/>
  <c r="J379" i="5"/>
  <c r="G379" i="5"/>
  <c r="F379" i="5"/>
  <c r="E379" i="5"/>
  <c r="D379" i="5"/>
  <c r="T378" i="5"/>
  <c r="M378" i="5"/>
  <c r="J378" i="5"/>
  <c r="G378" i="5"/>
  <c r="F378" i="5"/>
  <c r="E378" i="5"/>
  <c r="D378" i="5"/>
  <c r="T377" i="5"/>
  <c r="M377" i="5"/>
  <c r="J377" i="5"/>
  <c r="G377" i="5"/>
  <c r="F377" i="5"/>
  <c r="E377" i="5"/>
  <c r="D377" i="5"/>
  <c r="T376" i="5"/>
  <c r="M376" i="5"/>
  <c r="J376" i="5"/>
  <c r="G376" i="5"/>
  <c r="F376" i="5"/>
  <c r="E376" i="5"/>
  <c r="D376" i="5"/>
  <c r="T375" i="5"/>
  <c r="M375" i="5"/>
  <c r="J375" i="5"/>
  <c r="G375" i="5"/>
  <c r="F375" i="5"/>
  <c r="E375" i="5"/>
  <c r="D375" i="5"/>
  <c r="T374" i="5"/>
  <c r="M374" i="5"/>
  <c r="J374" i="5"/>
  <c r="G374" i="5"/>
  <c r="F374" i="5"/>
  <c r="E374" i="5"/>
  <c r="D374" i="5"/>
  <c r="T373" i="5"/>
  <c r="M373" i="5"/>
  <c r="J373" i="5"/>
  <c r="G373" i="5"/>
  <c r="F373" i="5"/>
  <c r="E373" i="5"/>
  <c r="D373" i="5"/>
  <c r="T372" i="5"/>
  <c r="M372" i="5"/>
  <c r="J372" i="5"/>
  <c r="G372" i="5"/>
  <c r="F372" i="5"/>
  <c r="E372" i="5"/>
  <c r="D372" i="5"/>
  <c r="T371" i="5"/>
  <c r="M371" i="5"/>
  <c r="J371" i="5"/>
  <c r="G371" i="5"/>
  <c r="F371" i="5"/>
  <c r="E371" i="5"/>
  <c r="D371" i="5"/>
  <c r="T370" i="5"/>
  <c r="M370" i="5"/>
  <c r="J370" i="5"/>
  <c r="G370" i="5"/>
  <c r="F370" i="5"/>
  <c r="E370" i="5"/>
  <c r="D370" i="5"/>
  <c r="T369" i="5"/>
  <c r="M369" i="5"/>
  <c r="J369" i="5"/>
  <c r="G369" i="5"/>
  <c r="F369" i="5"/>
  <c r="E369" i="5"/>
  <c r="D369" i="5"/>
  <c r="T368" i="5"/>
  <c r="M368" i="5"/>
  <c r="J368" i="5"/>
  <c r="G368" i="5"/>
  <c r="F368" i="5"/>
  <c r="E368" i="5"/>
  <c r="D368" i="5"/>
  <c r="T367" i="5"/>
  <c r="M367" i="5"/>
  <c r="J367" i="5"/>
  <c r="G367" i="5"/>
  <c r="F367" i="5"/>
  <c r="E367" i="5"/>
  <c r="D367" i="5"/>
  <c r="T366" i="5"/>
  <c r="M366" i="5"/>
  <c r="J366" i="5"/>
  <c r="G366" i="5"/>
  <c r="F366" i="5"/>
  <c r="E366" i="5"/>
  <c r="D366" i="5"/>
  <c r="T365" i="5"/>
  <c r="M365" i="5"/>
  <c r="J365" i="5"/>
  <c r="G365" i="5"/>
  <c r="F365" i="5"/>
  <c r="E365" i="5"/>
  <c r="D365" i="5"/>
  <c r="T364" i="5"/>
  <c r="M364" i="5"/>
  <c r="J364" i="5"/>
  <c r="G364" i="5"/>
  <c r="F364" i="5"/>
  <c r="E364" i="5"/>
  <c r="D364" i="5"/>
  <c r="T363" i="5"/>
  <c r="M363" i="5"/>
  <c r="J363" i="5"/>
  <c r="G363" i="5"/>
  <c r="F363" i="5"/>
  <c r="E363" i="5"/>
  <c r="D363" i="5"/>
  <c r="T362" i="5"/>
  <c r="M362" i="5"/>
  <c r="J362" i="5"/>
  <c r="G362" i="5"/>
  <c r="F362" i="5"/>
  <c r="E362" i="5"/>
  <c r="D362" i="5"/>
  <c r="T361" i="5"/>
  <c r="M361" i="5"/>
  <c r="J361" i="5"/>
  <c r="G361" i="5"/>
  <c r="F361" i="5"/>
  <c r="E361" i="5"/>
  <c r="D361" i="5"/>
  <c r="T360" i="5"/>
  <c r="M360" i="5"/>
  <c r="J360" i="5"/>
  <c r="G360" i="5"/>
  <c r="F360" i="5"/>
  <c r="E360" i="5"/>
  <c r="D360" i="5"/>
  <c r="T359" i="5"/>
  <c r="M359" i="5"/>
  <c r="J359" i="5"/>
  <c r="G359" i="5"/>
  <c r="F359" i="5"/>
  <c r="E359" i="5"/>
  <c r="D359" i="5"/>
  <c r="T358" i="5"/>
  <c r="M358" i="5"/>
  <c r="J358" i="5"/>
  <c r="G358" i="5"/>
  <c r="F358" i="5"/>
  <c r="E358" i="5"/>
  <c r="D358" i="5"/>
  <c r="T357" i="5"/>
  <c r="M357" i="5"/>
  <c r="J357" i="5"/>
  <c r="G357" i="5"/>
  <c r="F357" i="5"/>
  <c r="E357" i="5"/>
  <c r="D357" i="5"/>
  <c r="T356" i="5"/>
  <c r="M356" i="5"/>
  <c r="J356" i="5"/>
  <c r="G356" i="5"/>
  <c r="F356" i="5"/>
  <c r="E356" i="5"/>
  <c r="D356" i="5"/>
  <c r="T355" i="5"/>
  <c r="M355" i="5"/>
  <c r="J355" i="5"/>
  <c r="G355" i="5"/>
  <c r="F355" i="5"/>
  <c r="E355" i="5"/>
  <c r="D355" i="5"/>
  <c r="T354" i="5"/>
  <c r="M354" i="5"/>
  <c r="J354" i="5"/>
  <c r="G354" i="5"/>
  <c r="F354" i="5"/>
  <c r="E354" i="5"/>
  <c r="D354" i="5"/>
  <c r="T353" i="5"/>
  <c r="M353" i="5"/>
  <c r="J353" i="5"/>
  <c r="G353" i="5"/>
  <c r="F353" i="5"/>
  <c r="E353" i="5"/>
  <c r="D353" i="5"/>
  <c r="T352" i="5"/>
  <c r="M352" i="5"/>
  <c r="J352" i="5"/>
  <c r="G352" i="5"/>
  <c r="F352" i="5"/>
  <c r="E352" i="5"/>
  <c r="D352" i="5"/>
  <c r="T351" i="5"/>
  <c r="M351" i="5"/>
  <c r="J351" i="5"/>
  <c r="G351" i="5"/>
  <c r="F351" i="5"/>
  <c r="E351" i="5"/>
  <c r="D351" i="5"/>
  <c r="T350" i="5"/>
  <c r="M350" i="5"/>
  <c r="J350" i="5"/>
  <c r="G350" i="5"/>
  <c r="F350" i="5"/>
  <c r="E350" i="5"/>
  <c r="D350" i="5"/>
  <c r="T349" i="5"/>
  <c r="M349" i="5"/>
  <c r="J349" i="5"/>
  <c r="G349" i="5"/>
  <c r="F349" i="5"/>
  <c r="E349" i="5"/>
  <c r="D349" i="5"/>
  <c r="T348" i="5"/>
  <c r="M348" i="5"/>
  <c r="J348" i="5"/>
  <c r="G348" i="5"/>
  <c r="F348" i="5"/>
  <c r="E348" i="5"/>
  <c r="D348" i="5"/>
  <c r="T347" i="5"/>
  <c r="M347" i="5"/>
  <c r="J347" i="5"/>
  <c r="G347" i="5"/>
  <c r="F347" i="5"/>
  <c r="E347" i="5"/>
  <c r="D347" i="5"/>
  <c r="T346" i="5"/>
  <c r="M346" i="5"/>
  <c r="J346" i="5"/>
  <c r="G346" i="5"/>
  <c r="F346" i="5"/>
  <c r="E346" i="5"/>
  <c r="D346" i="5"/>
  <c r="T345" i="5"/>
  <c r="M345" i="5"/>
  <c r="J345" i="5"/>
  <c r="G345" i="5"/>
  <c r="F345" i="5"/>
  <c r="E345" i="5"/>
  <c r="D345" i="5"/>
  <c r="T344" i="5"/>
  <c r="M344" i="5"/>
  <c r="J344" i="5"/>
  <c r="G344" i="5"/>
  <c r="F344" i="5"/>
  <c r="E344" i="5"/>
  <c r="D344" i="5"/>
  <c r="T343" i="5"/>
  <c r="M343" i="5"/>
  <c r="J343" i="5"/>
  <c r="G343" i="5"/>
  <c r="F343" i="5"/>
  <c r="E343" i="5"/>
  <c r="D343" i="5"/>
  <c r="T342" i="5"/>
  <c r="M342" i="5"/>
  <c r="J342" i="5"/>
  <c r="G342" i="5"/>
  <c r="F342" i="5"/>
  <c r="E342" i="5"/>
  <c r="D342" i="5"/>
  <c r="T341" i="5"/>
  <c r="M341" i="5"/>
  <c r="J341" i="5"/>
  <c r="G341" i="5"/>
  <c r="F341" i="5"/>
  <c r="E341" i="5"/>
  <c r="D341" i="5"/>
  <c r="T340" i="5"/>
  <c r="M340" i="5"/>
  <c r="J340" i="5"/>
  <c r="G340" i="5"/>
  <c r="F340" i="5"/>
  <c r="E340" i="5"/>
  <c r="D340" i="5"/>
  <c r="T339" i="5"/>
  <c r="M339" i="5"/>
  <c r="J339" i="5"/>
  <c r="G339" i="5"/>
  <c r="F339" i="5"/>
  <c r="E339" i="5"/>
  <c r="D339" i="5"/>
  <c r="T338" i="5"/>
  <c r="M338" i="5"/>
  <c r="J338" i="5"/>
  <c r="G338" i="5"/>
  <c r="F338" i="5"/>
  <c r="E338" i="5"/>
  <c r="D338" i="5"/>
  <c r="T337" i="5"/>
  <c r="M337" i="5"/>
  <c r="J337" i="5"/>
  <c r="G337" i="5"/>
  <c r="F337" i="5"/>
  <c r="E337" i="5"/>
  <c r="D337" i="5"/>
  <c r="T336" i="5"/>
  <c r="M336" i="5"/>
  <c r="J336" i="5"/>
  <c r="G336" i="5"/>
  <c r="F336" i="5"/>
  <c r="E336" i="5"/>
  <c r="D336" i="5"/>
  <c r="T335" i="5"/>
  <c r="M335" i="5"/>
  <c r="J335" i="5"/>
  <c r="G335" i="5"/>
  <c r="F335" i="5"/>
  <c r="E335" i="5"/>
  <c r="D335" i="5"/>
  <c r="T334" i="5"/>
  <c r="M334" i="5"/>
  <c r="J334" i="5"/>
  <c r="G334" i="5"/>
  <c r="F334" i="5"/>
  <c r="E334" i="5"/>
  <c r="D334" i="5"/>
  <c r="T333" i="5"/>
  <c r="M333" i="5"/>
  <c r="J333" i="5"/>
  <c r="G333" i="5"/>
  <c r="F333" i="5"/>
  <c r="E333" i="5"/>
  <c r="D333" i="5"/>
  <c r="T332" i="5"/>
  <c r="M332" i="5"/>
  <c r="J332" i="5"/>
  <c r="G332" i="5"/>
  <c r="F332" i="5"/>
  <c r="E332" i="5"/>
  <c r="D332" i="5"/>
  <c r="T331" i="5"/>
  <c r="M331" i="5"/>
  <c r="J331" i="5"/>
  <c r="G331" i="5"/>
  <c r="F331" i="5"/>
  <c r="E331" i="5"/>
  <c r="D331" i="5"/>
  <c r="T330" i="5"/>
  <c r="M330" i="5"/>
  <c r="J330" i="5"/>
  <c r="G330" i="5"/>
  <c r="F330" i="5"/>
  <c r="E330" i="5"/>
  <c r="D330" i="5"/>
  <c r="T329" i="5"/>
  <c r="M329" i="5"/>
  <c r="J329" i="5"/>
  <c r="G329" i="5"/>
  <c r="F329" i="5"/>
  <c r="E329" i="5"/>
  <c r="D329" i="5"/>
  <c r="T328" i="5"/>
  <c r="M328" i="5"/>
  <c r="J328" i="5"/>
  <c r="G328" i="5"/>
  <c r="F328" i="5"/>
  <c r="E328" i="5"/>
  <c r="D328" i="5"/>
  <c r="T327" i="5"/>
  <c r="M327" i="5"/>
  <c r="J327" i="5"/>
  <c r="G327" i="5"/>
  <c r="F327" i="5"/>
  <c r="E327" i="5"/>
  <c r="D327" i="5"/>
  <c r="T326" i="5"/>
  <c r="M326" i="5"/>
  <c r="J326" i="5"/>
  <c r="G326" i="5"/>
  <c r="F326" i="5"/>
  <c r="E326" i="5"/>
  <c r="D326" i="5"/>
  <c r="T325" i="5"/>
  <c r="M325" i="5"/>
  <c r="J325" i="5"/>
  <c r="G325" i="5"/>
  <c r="F325" i="5"/>
  <c r="E325" i="5"/>
  <c r="D325" i="5"/>
  <c r="T324" i="5"/>
  <c r="M324" i="5"/>
  <c r="J324" i="5"/>
  <c r="G324" i="5"/>
  <c r="F324" i="5"/>
  <c r="E324" i="5"/>
  <c r="D324" i="5"/>
  <c r="T323" i="5"/>
  <c r="M323" i="5"/>
  <c r="J323" i="5"/>
  <c r="G323" i="5"/>
  <c r="F323" i="5"/>
  <c r="E323" i="5"/>
  <c r="D323" i="5"/>
  <c r="T322" i="5"/>
  <c r="J322" i="5"/>
  <c r="G322" i="5"/>
  <c r="F322" i="5"/>
  <c r="E322" i="5"/>
  <c r="D322" i="5"/>
  <c r="T321" i="5"/>
  <c r="M321" i="5"/>
  <c r="J321" i="5"/>
  <c r="G321" i="5"/>
  <c r="F321" i="5"/>
  <c r="E321" i="5"/>
  <c r="D321" i="5"/>
  <c r="T320" i="5"/>
  <c r="M320" i="5"/>
  <c r="J320" i="5"/>
  <c r="G320" i="5"/>
  <c r="F320" i="5"/>
  <c r="E320" i="5"/>
  <c r="D320" i="5"/>
  <c r="T319" i="5"/>
  <c r="M319" i="5"/>
  <c r="J319" i="5"/>
  <c r="G319" i="5"/>
  <c r="F319" i="5"/>
  <c r="E319" i="5"/>
  <c r="D319" i="5"/>
  <c r="T318" i="5"/>
  <c r="M318" i="5"/>
  <c r="J318" i="5"/>
  <c r="G318" i="5"/>
  <c r="F318" i="5"/>
  <c r="E318" i="5"/>
  <c r="D318" i="5"/>
  <c r="T317" i="5"/>
  <c r="M317" i="5"/>
  <c r="J317" i="5"/>
  <c r="G317" i="5"/>
  <c r="F317" i="5"/>
  <c r="E317" i="5"/>
  <c r="D317" i="5"/>
  <c r="T316" i="5"/>
  <c r="M316" i="5"/>
  <c r="J316" i="5"/>
  <c r="G316" i="5"/>
  <c r="F316" i="5"/>
  <c r="E316" i="5"/>
  <c r="D316" i="5"/>
  <c r="T315" i="5"/>
  <c r="M315" i="5"/>
  <c r="J315" i="5"/>
  <c r="G315" i="5"/>
  <c r="F315" i="5"/>
  <c r="E315" i="5"/>
  <c r="D315" i="5"/>
  <c r="T314" i="5"/>
  <c r="M314" i="5"/>
  <c r="J314" i="5"/>
  <c r="G314" i="5"/>
  <c r="F314" i="5"/>
  <c r="E314" i="5"/>
  <c r="D314" i="5"/>
  <c r="T313" i="5"/>
  <c r="J313" i="5"/>
  <c r="G313" i="5"/>
  <c r="F313" i="5"/>
  <c r="E313" i="5"/>
  <c r="D313" i="5"/>
  <c r="T312" i="5"/>
  <c r="M312" i="5"/>
  <c r="J312" i="5"/>
  <c r="G312" i="5"/>
  <c r="F312" i="5"/>
  <c r="E312" i="5"/>
  <c r="D312" i="5"/>
  <c r="T311" i="5"/>
  <c r="M311" i="5"/>
  <c r="J311" i="5"/>
  <c r="G311" i="5"/>
  <c r="F311" i="5"/>
  <c r="E311" i="5"/>
  <c r="D311" i="5"/>
  <c r="T310" i="5"/>
  <c r="M310" i="5"/>
  <c r="J310" i="5"/>
  <c r="G310" i="5"/>
  <c r="F310" i="5"/>
  <c r="E310" i="5"/>
  <c r="D310" i="5"/>
  <c r="T309" i="5"/>
  <c r="M309" i="5"/>
  <c r="J309" i="5"/>
  <c r="G309" i="5"/>
  <c r="F309" i="5"/>
  <c r="E309" i="5"/>
  <c r="D309" i="5"/>
  <c r="T308" i="5"/>
  <c r="M308" i="5"/>
  <c r="J308" i="5"/>
  <c r="G308" i="5"/>
  <c r="F308" i="5"/>
  <c r="E308" i="5"/>
  <c r="D308" i="5"/>
  <c r="T307" i="5"/>
  <c r="M307" i="5"/>
  <c r="J307" i="5"/>
  <c r="G307" i="5"/>
  <c r="F307" i="5"/>
  <c r="E307" i="5"/>
  <c r="D307" i="5"/>
  <c r="T306" i="5"/>
  <c r="M306" i="5"/>
  <c r="J306" i="5"/>
  <c r="G306" i="5"/>
  <c r="F306" i="5"/>
  <c r="E306" i="5"/>
  <c r="D306" i="5"/>
  <c r="T305" i="5"/>
  <c r="M305" i="5"/>
  <c r="J305" i="5"/>
  <c r="G305" i="5"/>
  <c r="F305" i="5"/>
  <c r="E305" i="5"/>
  <c r="D305" i="5"/>
  <c r="T304" i="5"/>
  <c r="M304" i="5"/>
  <c r="J304" i="5"/>
  <c r="G304" i="5"/>
  <c r="F304" i="5"/>
  <c r="E304" i="5"/>
  <c r="D304" i="5"/>
  <c r="T303" i="5"/>
  <c r="M303" i="5"/>
  <c r="J303" i="5"/>
  <c r="G303" i="5"/>
  <c r="F303" i="5"/>
  <c r="E303" i="5"/>
  <c r="D303" i="5"/>
  <c r="T302" i="5"/>
  <c r="M302" i="5"/>
  <c r="J302" i="5"/>
  <c r="G302" i="5"/>
  <c r="F302" i="5"/>
  <c r="E302" i="5"/>
  <c r="D302" i="5"/>
  <c r="T301" i="5"/>
  <c r="M301" i="5"/>
  <c r="J301" i="5"/>
  <c r="G301" i="5"/>
  <c r="F301" i="5"/>
  <c r="E301" i="5"/>
  <c r="D301" i="5"/>
  <c r="T300" i="5"/>
  <c r="M300" i="5"/>
  <c r="J300" i="5"/>
  <c r="G300" i="5"/>
  <c r="F300" i="5"/>
  <c r="E300" i="5"/>
  <c r="D300" i="5"/>
  <c r="T299" i="5"/>
  <c r="M299" i="5"/>
  <c r="J299" i="5"/>
  <c r="G299" i="5"/>
  <c r="F299" i="5"/>
  <c r="E299" i="5"/>
  <c r="D299" i="5"/>
  <c r="T298" i="5"/>
  <c r="M298" i="5"/>
  <c r="J298" i="5"/>
  <c r="G298" i="5"/>
  <c r="F298" i="5"/>
  <c r="E298" i="5"/>
  <c r="D298" i="5"/>
  <c r="T297" i="5"/>
  <c r="J297" i="5"/>
  <c r="G297" i="5"/>
  <c r="F297" i="5"/>
  <c r="E297" i="5"/>
  <c r="D297" i="5"/>
  <c r="T296" i="5"/>
  <c r="M296" i="5"/>
  <c r="J296" i="5"/>
  <c r="G296" i="5"/>
  <c r="F296" i="5"/>
  <c r="E296" i="5"/>
  <c r="D296" i="5"/>
  <c r="T295" i="5"/>
  <c r="M295" i="5"/>
  <c r="J295" i="5"/>
  <c r="G295" i="5"/>
  <c r="F295" i="5"/>
  <c r="E295" i="5"/>
  <c r="D295" i="5"/>
  <c r="T294" i="5"/>
  <c r="M294" i="5"/>
  <c r="J294" i="5"/>
  <c r="G294" i="5"/>
  <c r="F294" i="5"/>
  <c r="E294" i="5"/>
  <c r="D294" i="5"/>
  <c r="T293" i="5"/>
  <c r="M293" i="5"/>
  <c r="J293" i="5"/>
  <c r="G293" i="5"/>
  <c r="F293" i="5"/>
  <c r="E293" i="5"/>
  <c r="D293" i="5"/>
  <c r="T292" i="5"/>
  <c r="M292" i="5"/>
  <c r="J292" i="5"/>
  <c r="G292" i="5"/>
  <c r="F292" i="5"/>
  <c r="E292" i="5"/>
  <c r="D292" i="5"/>
  <c r="T291" i="5"/>
  <c r="M291" i="5"/>
  <c r="J291" i="5"/>
  <c r="G291" i="5"/>
  <c r="F291" i="5"/>
  <c r="E291" i="5"/>
  <c r="D291" i="5"/>
  <c r="T290" i="5"/>
  <c r="J290" i="5"/>
  <c r="G290" i="5"/>
  <c r="F290" i="5"/>
  <c r="E290" i="5"/>
  <c r="D290" i="5"/>
  <c r="T289" i="5"/>
  <c r="M289" i="5"/>
  <c r="J289" i="5"/>
  <c r="G289" i="5"/>
  <c r="F289" i="5"/>
  <c r="E289" i="5"/>
  <c r="D289" i="5"/>
  <c r="T288" i="5"/>
  <c r="M288" i="5"/>
  <c r="J288" i="5"/>
  <c r="G288" i="5"/>
  <c r="F288" i="5"/>
  <c r="E288" i="5"/>
  <c r="D288" i="5"/>
  <c r="T287" i="5"/>
  <c r="M287" i="5"/>
  <c r="J287" i="5"/>
  <c r="G287" i="5"/>
  <c r="F287" i="5"/>
  <c r="E287" i="5"/>
  <c r="D287" i="5"/>
  <c r="T286" i="5"/>
  <c r="M286" i="5"/>
  <c r="J286" i="5"/>
  <c r="G286" i="5"/>
  <c r="F286" i="5"/>
  <c r="E286" i="5"/>
  <c r="D286" i="5"/>
  <c r="T285" i="5"/>
  <c r="M285" i="5"/>
  <c r="J285" i="5"/>
  <c r="G285" i="5"/>
  <c r="F285" i="5"/>
  <c r="E285" i="5"/>
  <c r="D285" i="5"/>
  <c r="T284" i="5"/>
  <c r="M284" i="5"/>
  <c r="J284" i="5"/>
  <c r="G284" i="5"/>
  <c r="F284" i="5"/>
  <c r="E284" i="5"/>
  <c r="D284" i="5"/>
  <c r="T283" i="5"/>
  <c r="M283" i="5"/>
  <c r="J283" i="5"/>
  <c r="G283" i="5"/>
  <c r="F283" i="5"/>
  <c r="E283" i="5"/>
  <c r="D283" i="5"/>
  <c r="T282" i="5"/>
  <c r="M282" i="5"/>
  <c r="J282" i="5"/>
  <c r="G282" i="5"/>
  <c r="F282" i="5"/>
  <c r="E282" i="5"/>
  <c r="D282" i="5"/>
  <c r="T281" i="5"/>
  <c r="M281" i="5"/>
  <c r="J281" i="5"/>
  <c r="G281" i="5"/>
  <c r="F281" i="5"/>
  <c r="E281" i="5"/>
  <c r="D281" i="5"/>
  <c r="T280" i="5"/>
  <c r="J280" i="5"/>
  <c r="G280" i="5"/>
  <c r="F280" i="5"/>
  <c r="E280" i="5"/>
  <c r="D280" i="5"/>
  <c r="T279" i="5"/>
  <c r="M279" i="5"/>
  <c r="J279" i="5"/>
  <c r="G279" i="5"/>
  <c r="F279" i="5"/>
  <c r="E279" i="5"/>
  <c r="D279" i="5"/>
  <c r="T278" i="5"/>
  <c r="M278" i="5"/>
  <c r="J278" i="5"/>
  <c r="G278" i="5"/>
  <c r="F278" i="5"/>
  <c r="E278" i="5"/>
  <c r="D278" i="5"/>
  <c r="T277" i="5"/>
  <c r="M277" i="5"/>
  <c r="J277" i="5"/>
  <c r="G277" i="5"/>
  <c r="F277" i="5"/>
  <c r="E277" i="5"/>
  <c r="D277" i="5"/>
  <c r="T276" i="5"/>
  <c r="M276" i="5"/>
  <c r="J276" i="5"/>
  <c r="G276" i="5"/>
  <c r="F276" i="5"/>
  <c r="E276" i="5"/>
  <c r="D276" i="5"/>
  <c r="T275" i="5"/>
  <c r="M275" i="5"/>
  <c r="J275" i="5"/>
  <c r="G275" i="5"/>
  <c r="F275" i="5"/>
  <c r="E275" i="5"/>
  <c r="D275" i="5"/>
  <c r="T274" i="5"/>
  <c r="M274" i="5"/>
  <c r="J274" i="5"/>
  <c r="G274" i="5"/>
  <c r="F274" i="5"/>
  <c r="E274" i="5"/>
  <c r="D274" i="5"/>
  <c r="T273" i="5"/>
  <c r="M273" i="5"/>
  <c r="J273" i="5"/>
  <c r="G273" i="5"/>
  <c r="F273" i="5"/>
  <c r="E273" i="5"/>
  <c r="D273" i="5"/>
  <c r="T272" i="5"/>
  <c r="M272" i="5"/>
  <c r="J272" i="5"/>
  <c r="G272" i="5"/>
  <c r="F272" i="5"/>
  <c r="E272" i="5"/>
  <c r="D272" i="5"/>
  <c r="T271" i="5"/>
  <c r="M271" i="5"/>
  <c r="J271" i="5"/>
  <c r="G271" i="5"/>
  <c r="F271" i="5"/>
  <c r="E271" i="5"/>
  <c r="D271" i="5"/>
  <c r="T270" i="5"/>
  <c r="M270" i="5"/>
  <c r="J270" i="5"/>
  <c r="G270" i="5"/>
  <c r="F270" i="5"/>
  <c r="E270" i="5"/>
  <c r="D270" i="5"/>
  <c r="T269" i="5"/>
  <c r="M269" i="5"/>
  <c r="J269" i="5"/>
  <c r="G269" i="5"/>
  <c r="F269" i="5"/>
  <c r="E269" i="5"/>
  <c r="D269" i="5"/>
  <c r="T268" i="5"/>
  <c r="M268" i="5"/>
  <c r="J268" i="5"/>
  <c r="G268" i="5"/>
  <c r="F268" i="5"/>
  <c r="E268" i="5"/>
  <c r="D268" i="5"/>
  <c r="T267" i="5"/>
  <c r="M267" i="5"/>
  <c r="J267" i="5"/>
  <c r="G267" i="5"/>
  <c r="F267" i="5"/>
  <c r="E267" i="5"/>
  <c r="D267" i="5"/>
  <c r="T266" i="5"/>
  <c r="M266" i="5"/>
  <c r="J266" i="5"/>
  <c r="G266" i="5"/>
  <c r="F266" i="5"/>
  <c r="E266" i="5"/>
  <c r="D266" i="5"/>
  <c r="T265" i="5"/>
  <c r="M265" i="5"/>
  <c r="J265" i="5"/>
  <c r="G265" i="5"/>
  <c r="F265" i="5"/>
  <c r="E265" i="5"/>
  <c r="D265" i="5"/>
  <c r="T264" i="5"/>
  <c r="M264" i="5"/>
  <c r="J264" i="5"/>
  <c r="G264" i="5"/>
  <c r="F264" i="5"/>
  <c r="E264" i="5"/>
  <c r="D264" i="5"/>
  <c r="T263" i="5"/>
  <c r="M263" i="5"/>
  <c r="J263" i="5"/>
  <c r="G263" i="5"/>
  <c r="F263" i="5"/>
  <c r="E263" i="5"/>
  <c r="D263" i="5"/>
  <c r="T262" i="5"/>
  <c r="M262" i="5"/>
  <c r="J262" i="5"/>
  <c r="G262" i="5"/>
  <c r="F262" i="5"/>
  <c r="E262" i="5"/>
  <c r="D262" i="5"/>
  <c r="T261" i="5"/>
  <c r="M261" i="5"/>
  <c r="J261" i="5"/>
  <c r="G261" i="5"/>
  <c r="F261" i="5"/>
  <c r="E261" i="5"/>
  <c r="D261" i="5"/>
  <c r="T260" i="5"/>
  <c r="M260" i="5"/>
  <c r="J260" i="5"/>
  <c r="G260" i="5"/>
  <c r="F260" i="5"/>
  <c r="E260" i="5"/>
  <c r="D260" i="5"/>
  <c r="T259" i="5"/>
  <c r="M259" i="5"/>
  <c r="J259" i="5"/>
  <c r="G259" i="5"/>
  <c r="F259" i="5"/>
  <c r="E259" i="5"/>
  <c r="D259" i="5"/>
  <c r="T258" i="5"/>
  <c r="M258" i="5"/>
  <c r="J258" i="5"/>
  <c r="G258" i="5"/>
  <c r="F258" i="5"/>
  <c r="E258" i="5"/>
  <c r="D258" i="5"/>
  <c r="T257" i="5"/>
  <c r="M257" i="5"/>
  <c r="J257" i="5"/>
  <c r="G257" i="5"/>
  <c r="F257" i="5"/>
  <c r="E257" i="5"/>
  <c r="D257" i="5"/>
  <c r="T256" i="5"/>
  <c r="M256" i="5"/>
  <c r="J256" i="5"/>
  <c r="G256" i="5"/>
  <c r="F256" i="5"/>
  <c r="E256" i="5"/>
  <c r="D256" i="5"/>
  <c r="T255" i="5"/>
  <c r="M255" i="5"/>
  <c r="J255" i="5"/>
  <c r="G255" i="5"/>
  <c r="F255" i="5"/>
  <c r="E255" i="5"/>
  <c r="D255" i="5"/>
  <c r="T254" i="5"/>
  <c r="M254" i="5"/>
  <c r="J254" i="5"/>
  <c r="G254" i="5"/>
  <c r="F254" i="5"/>
  <c r="E254" i="5"/>
  <c r="D254" i="5"/>
  <c r="T253" i="5"/>
  <c r="M253" i="5"/>
  <c r="J253" i="5"/>
  <c r="G253" i="5"/>
  <c r="F253" i="5"/>
  <c r="E253" i="5"/>
  <c r="D253" i="5"/>
  <c r="T252" i="5"/>
  <c r="M252" i="5"/>
  <c r="J252" i="5"/>
  <c r="G252" i="5"/>
  <c r="F252" i="5"/>
  <c r="E252" i="5"/>
  <c r="D252" i="5"/>
  <c r="T251" i="5"/>
  <c r="M251" i="5"/>
  <c r="J251" i="5"/>
  <c r="G251" i="5"/>
  <c r="F251" i="5"/>
  <c r="E251" i="5"/>
  <c r="D251" i="5"/>
  <c r="T250" i="5"/>
  <c r="M250" i="5"/>
  <c r="J250" i="5"/>
  <c r="G250" i="5"/>
  <c r="F250" i="5"/>
  <c r="E250" i="5"/>
  <c r="D250" i="5"/>
  <c r="T249" i="5"/>
  <c r="M249" i="5"/>
  <c r="J249" i="5"/>
  <c r="G249" i="5"/>
  <c r="F249" i="5"/>
  <c r="E249" i="5"/>
  <c r="D249" i="5"/>
  <c r="T248" i="5"/>
  <c r="M248" i="5"/>
  <c r="J248" i="5"/>
  <c r="G248" i="5"/>
  <c r="F248" i="5"/>
  <c r="E248" i="5"/>
  <c r="D248" i="5"/>
  <c r="T247" i="5"/>
  <c r="M247" i="5"/>
  <c r="J247" i="5"/>
  <c r="G247" i="5"/>
  <c r="F247" i="5"/>
  <c r="E247" i="5"/>
  <c r="D247" i="5"/>
  <c r="T246" i="5"/>
  <c r="M246" i="5"/>
  <c r="J246" i="5"/>
  <c r="G246" i="5"/>
  <c r="F246" i="5"/>
  <c r="E246" i="5"/>
  <c r="D246" i="5"/>
  <c r="T245" i="5"/>
  <c r="M245" i="5"/>
  <c r="J245" i="5"/>
  <c r="G245" i="5"/>
  <c r="F245" i="5"/>
  <c r="E245" i="5"/>
  <c r="D245" i="5"/>
  <c r="T244" i="5"/>
  <c r="M244" i="5"/>
  <c r="J244" i="5"/>
  <c r="G244" i="5"/>
  <c r="F244" i="5"/>
  <c r="E244" i="5"/>
  <c r="D244" i="5"/>
  <c r="T243" i="5"/>
  <c r="M243" i="5"/>
  <c r="J243" i="5"/>
  <c r="G243" i="5"/>
  <c r="F243" i="5"/>
  <c r="E243" i="5"/>
  <c r="D243" i="5"/>
  <c r="T242" i="5"/>
  <c r="M242" i="5"/>
  <c r="J242" i="5"/>
  <c r="G242" i="5"/>
  <c r="F242" i="5"/>
  <c r="E242" i="5"/>
  <c r="D242" i="5"/>
  <c r="T241" i="5"/>
  <c r="M241" i="5"/>
  <c r="J241" i="5"/>
  <c r="G241" i="5"/>
  <c r="F241" i="5"/>
  <c r="E241" i="5"/>
  <c r="D241" i="5"/>
  <c r="T240" i="5"/>
  <c r="M240" i="5"/>
  <c r="J240" i="5"/>
  <c r="G240" i="5"/>
  <c r="F240" i="5"/>
  <c r="E240" i="5"/>
  <c r="D240" i="5"/>
  <c r="T239" i="5"/>
  <c r="M239" i="5"/>
  <c r="J239" i="5"/>
  <c r="G239" i="5"/>
  <c r="F239" i="5"/>
  <c r="E239" i="5"/>
  <c r="D239" i="5"/>
  <c r="T238" i="5"/>
  <c r="M238" i="5"/>
  <c r="J238" i="5"/>
  <c r="G238" i="5"/>
  <c r="F238" i="5"/>
  <c r="E238" i="5"/>
  <c r="D238" i="5"/>
  <c r="T237" i="5"/>
  <c r="M237" i="5"/>
  <c r="J237" i="5"/>
  <c r="G237" i="5"/>
  <c r="F237" i="5"/>
  <c r="E237" i="5"/>
  <c r="D237" i="5"/>
  <c r="T236" i="5"/>
  <c r="M236" i="5"/>
  <c r="J236" i="5"/>
  <c r="G236" i="5"/>
  <c r="F236" i="5"/>
  <c r="E236" i="5"/>
  <c r="D236" i="5"/>
  <c r="T235" i="5"/>
  <c r="M235" i="5"/>
  <c r="J235" i="5"/>
  <c r="G235" i="5"/>
  <c r="F235" i="5"/>
  <c r="E235" i="5"/>
  <c r="D235" i="5"/>
  <c r="T234" i="5"/>
  <c r="M234" i="5"/>
  <c r="J234" i="5"/>
  <c r="G234" i="5"/>
  <c r="F234" i="5"/>
  <c r="E234" i="5"/>
  <c r="D234" i="5"/>
  <c r="T233" i="5"/>
  <c r="M233" i="5"/>
  <c r="J233" i="5"/>
  <c r="G233" i="5"/>
  <c r="F233" i="5"/>
  <c r="E233" i="5"/>
  <c r="D233" i="5"/>
  <c r="T232" i="5"/>
  <c r="M232" i="5"/>
  <c r="J232" i="5"/>
  <c r="G232" i="5"/>
  <c r="F232" i="5"/>
  <c r="E232" i="5"/>
  <c r="D232" i="5"/>
  <c r="T231" i="5"/>
  <c r="M231" i="5"/>
  <c r="J231" i="5"/>
  <c r="G231" i="5"/>
  <c r="F231" i="5"/>
  <c r="E231" i="5"/>
  <c r="D231" i="5"/>
  <c r="T230" i="5"/>
  <c r="M230" i="5"/>
  <c r="J230" i="5"/>
  <c r="G230" i="5"/>
  <c r="F230" i="5"/>
  <c r="E230" i="5"/>
  <c r="D230" i="5"/>
  <c r="T229" i="5"/>
  <c r="M229" i="5"/>
  <c r="J229" i="5"/>
  <c r="G229" i="5"/>
  <c r="F229" i="5"/>
  <c r="E229" i="5"/>
  <c r="D229" i="5"/>
  <c r="T228" i="5"/>
  <c r="M228" i="5"/>
  <c r="J228" i="5"/>
  <c r="G228" i="5"/>
  <c r="F228" i="5"/>
  <c r="E228" i="5"/>
  <c r="D228" i="5"/>
  <c r="T227" i="5"/>
  <c r="M227" i="5"/>
  <c r="J227" i="5"/>
  <c r="G227" i="5"/>
  <c r="F227" i="5"/>
  <c r="E227" i="5"/>
  <c r="D227" i="5"/>
  <c r="T226" i="5"/>
  <c r="M226" i="5"/>
  <c r="J226" i="5"/>
  <c r="G226" i="5"/>
  <c r="F226" i="5"/>
  <c r="E226" i="5"/>
  <c r="D226" i="5"/>
  <c r="T225" i="5"/>
  <c r="M225" i="5"/>
  <c r="J225" i="5"/>
  <c r="G225" i="5"/>
  <c r="F225" i="5"/>
  <c r="E225" i="5"/>
  <c r="D225" i="5"/>
  <c r="T224" i="5"/>
  <c r="M224" i="5"/>
  <c r="J224" i="5"/>
  <c r="G224" i="5"/>
  <c r="F224" i="5"/>
  <c r="E224" i="5"/>
  <c r="D224" i="5"/>
  <c r="T223" i="5"/>
  <c r="M223" i="5"/>
  <c r="J223" i="5"/>
  <c r="G223" i="5"/>
  <c r="F223" i="5"/>
  <c r="E223" i="5"/>
  <c r="D223" i="5"/>
  <c r="T222" i="5"/>
  <c r="M222" i="5"/>
  <c r="J222" i="5"/>
  <c r="G222" i="5"/>
  <c r="F222" i="5"/>
  <c r="E222" i="5"/>
  <c r="D222" i="5"/>
  <c r="T221" i="5"/>
  <c r="M221" i="5"/>
  <c r="J221" i="5"/>
  <c r="G221" i="5"/>
  <c r="F221" i="5"/>
  <c r="E221" i="5"/>
  <c r="D221" i="5"/>
  <c r="T220" i="5"/>
  <c r="M220" i="5"/>
  <c r="J220" i="5"/>
  <c r="G220" i="5"/>
  <c r="F220" i="5"/>
  <c r="E220" i="5"/>
  <c r="D220" i="5"/>
  <c r="T219" i="5"/>
  <c r="M219" i="5"/>
  <c r="J219" i="5"/>
  <c r="G219" i="5"/>
  <c r="F219" i="5"/>
  <c r="E219" i="5"/>
  <c r="D219" i="5"/>
  <c r="T218" i="5"/>
  <c r="M218" i="5"/>
  <c r="J218" i="5"/>
  <c r="G218" i="5"/>
  <c r="F218" i="5"/>
  <c r="E218" i="5"/>
  <c r="D218" i="5"/>
  <c r="T217" i="5"/>
  <c r="M217" i="5"/>
  <c r="J217" i="5"/>
  <c r="G217" i="5"/>
  <c r="F217" i="5"/>
  <c r="E217" i="5"/>
  <c r="D217" i="5"/>
  <c r="T216" i="5"/>
  <c r="M216" i="5"/>
  <c r="J216" i="5"/>
  <c r="G216" i="5"/>
  <c r="F216" i="5"/>
  <c r="E216" i="5"/>
  <c r="D216" i="5"/>
  <c r="T215" i="5"/>
  <c r="M215" i="5"/>
  <c r="J215" i="5"/>
  <c r="G215" i="5"/>
  <c r="F215" i="5"/>
  <c r="E215" i="5"/>
  <c r="D215" i="5"/>
  <c r="T214" i="5"/>
  <c r="M214" i="5"/>
  <c r="J214" i="5"/>
  <c r="G214" i="5"/>
  <c r="F214" i="5"/>
  <c r="E214" i="5"/>
  <c r="D214" i="5"/>
  <c r="T213" i="5"/>
  <c r="M213" i="5"/>
  <c r="J213" i="5"/>
  <c r="G213" i="5"/>
  <c r="F213" i="5"/>
  <c r="E213" i="5"/>
  <c r="D213" i="5"/>
  <c r="T212" i="5"/>
  <c r="M212" i="5"/>
  <c r="J212" i="5"/>
  <c r="G212" i="5"/>
  <c r="F212" i="5"/>
  <c r="E212" i="5"/>
  <c r="D212" i="5"/>
  <c r="T211" i="5"/>
  <c r="M211" i="5"/>
  <c r="J211" i="5"/>
  <c r="G211" i="5"/>
  <c r="F211" i="5"/>
  <c r="E211" i="5"/>
  <c r="D211" i="5"/>
  <c r="T210" i="5"/>
  <c r="M210" i="5"/>
  <c r="J210" i="5"/>
  <c r="G210" i="5"/>
  <c r="F210" i="5"/>
  <c r="E210" i="5"/>
  <c r="D210" i="5"/>
  <c r="T209" i="5"/>
  <c r="M209" i="5"/>
  <c r="J209" i="5"/>
  <c r="G209" i="5"/>
  <c r="F209" i="5"/>
  <c r="E209" i="5"/>
  <c r="D209" i="5"/>
  <c r="T208" i="5"/>
  <c r="M208" i="5"/>
  <c r="J208" i="5"/>
  <c r="G208" i="5"/>
  <c r="F208" i="5"/>
  <c r="E208" i="5"/>
  <c r="D208" i="5"/>
  <c r="T207" i="5"/>
  <c r="M207" i="5"/>
  <c r="J207" i="5"/>
  <c r="G207" i="5"/>
  <c r="F207" i="5"/>
  <c r="E207" i="5"/>
  <c r="D207" i="5"/>
  <c r="T206" i="5"/>
  <c r="M206" i="5"/>
  <c r="J206" i="5"/>
  <c r="G206" i="5"/>
  <c r="F206" i="5"/>
  <c r="E206" i="5"/>
  <c r="D206" i="5"/>
  <c r="T205" i="5"/>
  <c r="J205" i="5"/>
  <c r="G205" i="5"/>
  <c r="F205" i="5"/>
  <c r="E205" i="5"/>
  <c r="D205" i="5"/>
  <c r="T204" i="5"/>
  <c r="J204" i="5"/>
  <c r="G204" i="5"/>
  <c r="F204" i="5"/>
  <c r="E204" i="5"/>
  <c r="D204" i="5"/>
  <c r="T203" i="5"/>
  <c r="M203" i="5"/>
  <c r="J203" i="5"/>
  <c r="G203" i="5"/>
  <c r="F203" i="5"/>
  <c r="E203" i="5"/>
  <c r="D203" i="5"/>
  <c r="T202" i="5"/>
  <c r="M202" i="5"/>
  <c r="J202" i="5"/>
  <c r="G202" i="5"/>
  <c r="F202" i="5"/>
  <c r="E202" i="5"/>
  <c r="D202" i="5"/>
  <c r="T201" i="5"/>
  <c r="M201" i="5"/>
  <c r="J201" i="5"/>
  <c r="G201" i="5"/>
  <c r="F201" i="5"/>
  <c r="E201" i="5"/>
  <c r="D201" i="5"/>
  <c r="T200" i="5"/>
  <c r="M200" i="5"/>
  <c r="J200" i="5"/>
  <c r="G200" i="5"/>
  <c r="F200" i="5"/>
  <c r="E200" i="5"/>
  <c r="D200" i="5"/>
  <c r="T199" i="5"/>
  <c r="M199" i="5"/>
  <c r="J199" i="5"/>
  <c r="G199" i="5"/>
  <c r="F199" i="5"/>
  <c r="E199" i="5"/>
  <c r="D199" i="5"/>
  <c r="T198" i="5"/>
  <c r="M198" i="5"/>
  <c r="J198" i="5"/>
  <c r="G198" i="5"/>
  <c r="F198" i="5"/>
  <c r="E198" i="5"/>
  <c r="D198" i="5"/>
  <c r="T197" i="5"/>
  <c r="M197" i="5"/>
  <c r="J197" i="5"/>
  <c r="G197" i="5"/>
  <c r="F197" i="5"/>
  <c r="E197" i="5"/>
  <c r="D197" i="5"/>
  <c r="T196" i="5"/>
  <c r="M196" i="5"/>
  <c r="J196" i="5"/>
  <c r="G196" i="5"/>
  <c r="F196" i="5"/>
  <c r="E196" i="5"/>
  <c r="D196" i="5"/>
  <c r="T195" i="5"/>
  <c r="M195" i="5"/>
  <c r="J195" i="5"/>
  <c r="G195" i="5"/>
  <c r="F195" i="5"/>
  <c r="E195" i="5"/>
  <c r="D195" i="5"/>
  <c r="T194" i="5"/>
  <c r="M194" i="5"/>
  <c r="J194" i="5"/>
  <c r="G194" i="5"/>
  <c r="F194" i="5"/>
  <c r="E194" i="5"/>
  <c r="D194" i="5"/>
  <c r="T193" i="5"/>
  <c r="M193" i="5"/>
  <c r="J193" i="5"/>
  <c r="G193" i="5"/>
  <c r="F193" i="5"/>
  <c r="E193" i="5"/>
  <c r="D193" i="5"/>
  <c r="T192" i="5"/>
  <c r="M192" i="5"/>
  <c r="J192" i="5"/>
  <c r="G192" i="5"/>
  <c r="F192" i="5"/>
  <c r="E192" i="5"/>
  <c r="D192" i="5"/>
  <c r="M191" i="5"/>
  <c r="J191" i="5"/>
  <c r="G191" i="5"/>
  <c r="F191" i="5"/>
  <c r="E191" i="5"/>
  <c r="D191" i="5"/>
  <c r="M190" i="5"/>
  <c r="J190" i="5"/>
  <c r="G190" i="5"/>
  <c r="F190" i="5"/>
  <c r="E190" i="5"/>
  <c r="D190" i="5"/>
  <c r="M189" i="5"/>
  <c r="J189" i="5"/>
  <c r="G189" i="5"/>
  <c r="F189" i="5"/>
  <c r="E189" i="5"/>
  <c r="D189" i="5"/>
  <c r="M188" i="5"/>
  <c r="J188" i="5"/>
  <c r="G188" i="5"/>
  <c r="F188" i="5"/>
  <c r="E188" i="5"/>
  <c r="D188" i="5"/>
  <c r="M187" i="5"/>
  <c r="J187" i="5"/>
  <c r="G187" i="5"/>
  <c r="F187" i="5"/>
  <c r="E187" i="5"/>
  <c r="D187" i="5"/>
  <c r="M186" i="5"/>
  <c r="J186" i="5"/>
  <c r="G186" i="5"/>
  <c r="F186" i="5"/>
  <c r="E186" i="5"/>
  <c r="D186" i="5"/>
  <c r="M185" i="5"/>
  <c r="J185" i="5"/>
  <c r="G185" i="5"/>
  <c r="F185" i="5"/>
  <c r="E185" i="5"/>
  <c r="D185" i="5"/>
  <c r="M184" i="5"/>
  <c r="J184" i="5"/>
  <c r="G184" i="5"/>
  <c r="F184" i="5"/>
  <c r="E184" i="5"/>
  <c r="D184" i="5"/>
  <c r="M183" i="5"/>
  <c r="J183" i="5"/>
  <c r="G183" i="5"/>
  <c r="F183" i="5"/>
  <c r="E183" i="5"/>
  <c r="D183" i="5"/>
  <c r="M182" i="5"/>
  <c r="J182" i="5"/>
  <c r="G182" i="5"/>
  <c r="F182" i="5"/>
  <c r="E182" i="5"/>
  <c r="D182" i="5"/>
  <c r="M181" i="5"/>
  <c r="J181" i="5"/>
  <c r="G181" i="5"/>
  <c r="F181" i="5"/>
  <c r="E181" i="5"/>
  <c r="D181" i="5"/>
  <c r="M180" i="5"/>
  <c r="J180" i="5"/>
  <c r="G180" i="5"/>
  <c r="F180" i="5"/>
  <c r="E180" i="5"/>
  <c r="D180" i="5"/>
  <c r="M179" i="5"/>
  <c r="J179" i="5"/>
  <c r="G179" i="5"/>
  <c r="F179" i="5"/>
  <c r="E179" i="5"/>
  <c r="D179" i="5"/>
  <c r="M178" i="5"/>
  <c r="J178" i="5"/>
  <c r="G178" i="5"/>
  <c r="F178" i="5"/>
  <c r="E178" i="5"/>
  <c r="D178" i="5"/>
  <c r="M177" i="5"/>
  <c r="J177" i="5"/>
  <c r="G177" i="5"/>
  <c r="F177" i="5"/>
  <c r="E177" i="5"/>
  <c r="D177" i="5"/>
  <c r="M176" i="5"/>
  <c r="J176" i="5"/>
  <c r="G176" i="5"/>
  <c r="F176" i="5"/>
  <c r="E176" i="5"/>
  <c r="D176" i="5"/>
  <c r="M175" i="5"/>
  <c r="J175" i="5"/>
  <c r="G175" i="5"/>
  <c r="F175" i="5"/>
  <c r="E175" i="5"/>
  <c r="D175" i="5"/>
  <c r="J174" i="5"/>
  <c r="G174" i="5"/>
  <c r="F174" i="5"/>
  <c r="E174" i="5"/>
  <c r="D174" i="5"/>
  <c r="M173" i="5"/>
  <c r="J173" i="5"/>
  <c r="G173" i="5"/>
  <c r="F173" i="5"/>
  <c r="E173" i="5"/>
  <c r="D173" i="5"/>
  <c r="M172" i="5"/>
  <c r="J172" i="5"/>
  <c r="G172" i="5"/>
  <c r="F172" i="5"/>
  <c r="E172" i="5"/>
  <c r="D172" i="5"/>
  <c r="M171" i="5"/>
  <c r="J171" i="5"/>
  <c r="G171" i="5"/>
  <c r="F171" i="5"/>
  <c r="E171" i="5"/>
  <c r="D171" i="5"/>
  <c r="M170" i="5"/>
  <c r="J170" i="5"/>
  <c r="G170" i="5"/>
  <c r="F170" i="5"/>
  <c r="E170" i="5"/>
  <c r="D170" i="5"/>
  <c r="M169" i="5"/>
  <c r="J169" i="5"/>
  <c r="G169" i="5"/>
  <c r="F169" i="5"/>
  <c r="E169" i="5"/>
  <c r="D169" i="5"/>
  <c r="M168" i="5"/>
  <c r="J168" i="5"/>
  <c r="G168" i="5"/>
  <c r="F168" i="5"/>
  <c r="E168" i="5"/>
  <c r="D168" i="5"/>
  <c r="M167" i="5"/>
  <c r="J167" i="5"/>
  <c r="G167" i="5"/>
  <c r="F167" i="5"/>
  <c r="E167" i="5"/>
  <c r="D167" i="5"/>
  <c r="M166" i="5"/>
  <c r="J166" i="5"/>
  <c r="G166" i="5"/>
  <c r="F166" i="5"/>
  <c r="E166" i="5"/>
  <c r="D166" i="5"/>
  <c r="M165" i="5"/>
  <c r="J165" i="5"/>
  <c r="G165" i="5"/>
  <c r="F165" i="5"/>
  <c r="E165" i="5"/>
  <c r="D165" i="5"/>
  <c r="M164" i="5"/>
  <c r="J164" i="5"/>
  <c r="G164" i="5"/>
  <c r="F164" i="5"/>
  <c r="E164" i="5"/>
  <c r="D164" i="5"/>
  <c r="M163" i="5"/>
  <c r="J163" i="5"/>
  <c r="G163" i="5"/>
  <c r="F163" i="5"/>
  <c r="E163" i="5"/>
  <c r="D163" i="5"/>
  <c r="M162" i="5"/>
  <c r="J162" i="5"/>
  <c r="G162" i="5"/>
  <c r="F162" i="5"/>
  <c r="E162" i="5"/>
  <c r="D162" i="5"/>
  <c r="M161" i="5"/>
  <c r="J161" i="5"/>
  <c r="G161" i="5"/>
  <c r="F161" i="5"/>
  <c r="E161" i="5"/>
  <c r="D161" i="5"/>
  <c r="M160" i="5"/>
  <c r="J160" i="5"/>
  <c r="G160" i="5"/>
  <c r="F160" i="5"/>
  <c r="E160" i="5"/>
  <c r="D160" i="5"/>
  <c r="M159" i="5"/>
  <c r="J159" i="5"/>
  <c r="G159" i="5"/>
  <c r="F159" i="5"/>
  <c r="E159" i="5"/>
  <c r="D159" i="5"/>
  <c r="M158" i="5"/>
  <c r="J158" i="5"/>
  <c r="G158" i="5"/>
  <c r="F158" i="5"/>
  <c r="E158" i="5"/>
  <c r="D158" i="5"/>
  <c r="M157" i="5"/>
  <c r="J157" i="5"/>
  <c r="G157" i="5"/>
  <c r="F157" i="5"/>
  <c r="E157" i="5"/>
  <c r="D157" i="5"/>
  <c r="M156" i="5"/>
  <c r="J156" i="5"/>
  <c r="G156" i="5"/>
  <c r="F156" i="5"/>
  <c r="E156" i="5"/>
  <c r="D156" i="5"/>
  <c r="M155" i="5"/>
  <c r="J155" i="5"/>
  <c r="G155" i="5"/>
  <c r="F155" i="5"/>
  <c r="E155" i="5"/>
  <c r="D155" i="5"/>
  <c r="M154" i="5"/>
  <c r="J154" i="5"/>
  <c r="G154" i="5"/>
  <c r="F154" i="5"/>
  <c r="E154" i="5"/>
  <c r="D154" i="5"/>
  <c r="M153" i="5"/>
  <c r="J153" i="5"/>
  <c r="G153" i="5"/>
  <c r="F153" i="5"/>
  <c r="E153" i="5"/>
  <c r="D153" i="5"/>
  <c r="M152" i="5"/>
  <c r="J152" i="5"/>
  <c r="G152" i="5"/>
  <c r="F152" i="5"/>
  <c r="E152" i="5"/>
  <c r="D152" i="5"/>
  <c r="M151" i="5"/>
  <c r="J151" i="5"/>
  <c r="G151" i="5"/>
  <c r="F151" i="5"/>
  <c r="E151" i="5"/>
  <c r="D151" i="5"/>
  <c r="M150" i="5"/>
  <c r="J150" i="5"/>
  <c r="G150" i="5"/>
  <c r="F150" i="5"/>
  <c r="E150" i="5"/>
  <c r="D150" i="5"/>
  <c r="M149" i="5"/>
  <c r="J149" i="5"/>
  <c r="G149" i="5"/>
  <c r="F149" i="5"/>
  <c r="E149" i="5"/>
  <c r="D149" i="5"/>
  <c r="M148" i="5"/>
  <c r="J148" i="5"/>
  <c r="G148" i="5"/>
  <c r="F148" i="5"/>
  <c r="E148" i="5"/>
  <c r="D148" i="5"/>
  <c r="M147" i="5"/>
  <c r="J147" i="5"/>
  <c r="G147" i="5"/>
  <c r="F147" i="5"/>
  <c r="E147" i="5"/>
  <c r="D147" i="5"/>
  <c r="M146" i="5"/>
  <c r="J146" i="5"/>
  <c r="G146" i="5"/>
  <c r="F146" i="5"/>
  <c r="E146" i="5"/>
  <c r="D146" i="5"/>
  <c r="M145" i="5"/>
  <c r="J145" i="5"/>
  <c r="G145" i="5"/>
  <c r="F145" i="5"/>
  <c r="E145" i="5"/>
  <c r="D145" i="5"/>
  <c r="M144" i="5"/>
  <c r="J144" i="5"/>
  <c r="G144" i="5"/>
  <c r="F144" i="5"/>
  <c r="E144" i="5"/>
  <c r="D144" i="5"/>
  <c r="M143" i="5"/>
  <c r="J143" i="5"/>
  <c r="G143" i="5"/>
  <c r="F143" i="5"/>
  <c r="E143" i="5"/>
  <c r="D143" i="5"/>
  <c r="M142" i="5"/>
  <c r="J142" i="5"/>
  <c r="G142" i="5"/>
  <c r="F142" i="5"/>
  <c r="E142" i="5"/>
  <c r="D142" i="5"/>
  <c r="M141" i="5"/>
  <c r="J141" i="5"/>
  <c r="G141" i="5"/>
  <c r="F141" i="5"/>
  <c r="E141" i="5"/>
  <c r="D141" i="5"/>
  <c r="J140" i="5"/>
  <c r="G140" i="5"/>
  <c r="F140" i="5"/>
  <c r="E140" i="5"/>
  <c r="D140" i="5"/>
  <c r="M139" i="5"/>
  <c r="J139" i="5"/>
  <c r="G139" i="5"/>
  <c r="F139" i="5"/>
  <c r="E139" i="5"/>
  <c r="D139" i="5"/>
  <c r="M138" i="5"/>
  <c r="J138" i="5"/>
  <c r="G138" i="5"/>
  <c r="F138" i="5"/>
  <c r="E138" i="5"/>
  <c r="D138" i="5"/>
  <c r="M137" i="5"/>
  <c r="J137" i="5"/>
  <c r="G137" i="5"/>
  <c r="F137" i="5"/>
  <c r="E137" i="5"/>
  <c r="D137" i="5"/>
  <c r="M136" i="5"/>
  <c r="J136" i="5"/>
  <c r="G136" i="5"/>
  <c r="F136" i="5"/>
  <c r="E136" i="5"/>
  <c r="D136" i="5"/>
  <c r="M135" i="5"/>
  <c r="J135" i="5"/>
  <c r="G135" i="5"/>
  <c r="F135" i="5"/>
  <c r="E135" i="5"/>
  <c r="D135" i="5"/>
  <c r="M134" i="5"/>
  <c r="J134" i="5"/>
  <c r="G134" i="5"/>
  <c r="F134" i="5"/>
  <c r="E134" i="5"/>
  <c r="D134" i="5"/>
  <c r="M133" i="5"/>
  <c r="J133" i="5"/>
  <c r="G133" i="5"/>
  <c r="F133" i="5"/>
  <c r="E133" i="5"/>
  <c r="D133" i="5"/>
  <c r="M132" i="5"/>
  <c r="J132" i="5"/>
  <c r="G132" i="5"/>
  <c r="F132" i="5"/>
  <c r="E132" i="5"/>
  <c r="D132" i="5"/>
  <c r="M131" i="5"/>
  <c r="J131" i="5"/>
  <c r="G131" i="5"/>
  <c r="F131" i="5"/>
  <c r="E131" i="5"/>
  <c r="D131" i="5"/>
  <c r="M130" i="5"/>
  <c r="J130" i="5"/>
  <c r="G130" i="5"/>
  <c r="F130" i="5"/>
  <c r="E130" i="5"/>
  <c r="D130" i="5"/>
  <c r="M129" i="5"/>
  <c r="J129" i="5"/>
  <c r="G129" i="5"/>
  <c r="E129" i="5"/>
  <c r="D129" i="5"/>
  <c r="M128" i="5"/>
  <c r="J128" i="5"/>
  <c r="G128" i="5"/>
  <c r="E128" i="5"/>
  <c r="D128" i="5"/>
  <c r="M127" i="5"/>
  <c r="J127" i="5"/>
  <c r="G127" i="5"/>
  <c r="E127" i="5"/>
  <c r="D127" i="5"/>
  <c r="M126" i="5"/>
  <c r="J126" i="5"/>
  <c r="G126" i="5"/>
  <c r="E126" i="5"/>
  <c r="D126" i="5"/>
  <c r="M125" i="5"/>
  <c r="J125" i="5"/>
  <c r="G125" i="5"/>
  <c r="E125" i="5"/>
  <c r="D125" i="5"/>
  <c r="M124" i="5"/>
  <c r="J124" i="5"/>
  <c r="G124" i="5"/>
  <c r="E124" i="5"/>
  <c r="D124" i="5"/>
  <c r="M123" i="5"/>
  <c r="J123" i="5"/>
  <c r="G123" i="5"/>
  <c r="E123" i="5"/>
  <c r="D123" i="5"/>
  <c r="M122" i="5"/>
  <c r="J122" i="5"/>
  <c r="G122" i="5"/>
  <c r="E122" i="5"/>
  <c r="D122" i="5"/>
  <c r="M121" i="5"/>
  <c r="J121" i="5"/>
  <c r="G121" i="5"/>
  <c r="E121" i="5"/>
  <c r="D121" i="5"/>
  <c r="M120" i="5"/>
  <c r="J120" i="5"/>
  <c r="G120" i="5"/>
  <c r="E120" i="5"/>
  <c r="D120" i="5"/>
  <c r="M119" i="5"/>
  <c r="J119" i="5"/>
  <c r="G119" i="5"/>
  <c r="E119" i="5"/>
  <c r="D119" i="5"/>
  <c r="M118" i="5"/>
  <c r="J118" i="5"/>
  <c r="G118" i="5"/>
  <c r="E118" i="5"/>
  <c r="D118" i="5"/>
  <c r="M117" i="5"/>
  <c r="J117" i="5"/>
  <c r="G117" i="5"/>
  <c r="E117" i="5"/>
  <c r="D117" i="5"/>
  <c r="M116" i="5"/>
  <c r="J116" i="5"/>
  <c r="G116" i="5"/>
  <c r="E116" i="5"/>
  <c r="D116" i="5"/>
  <c r="M115" i="5"/>
  <c r="J115" i="5"/>
  <c r="G115" i="5"/>
  <c r="E115" i="5"/>
  <c r="D115" i="5"/>
  <c r="M114" i="5"/>
  <c r="J114" i="5"/>
  <c r="G114" i="5"/>
  <c r="E114" i="5"/>
  <c r="D114" i="5"/>
  <c r="M113" i="5"/>
  <c r="J113" i="5"/>
  <c r="G113" i="5"/>
  <c r="E113" i="5"/>
  <c r="D113" i="5"/>
  <c r="M112" i="5"/>
  <c r="J112" i="5"/>
  <c r="G112" i="5"/>
  <c r="E112" i="5"/>
  <c r="D112" i="5"/>
  <c r="M104" i="5"/>
  <c r="J104" i="5"/>
  <c r="M106" i="5"/>
  <c r="G32" i="5" l="1"/>
  <c r="L53" i="5" l="1"/>
  <c r="K53" i="5"/>
  <c r="L29" i="5" l="1"/>
  <c r="K29" i="5"/>
  <c r="D111" i="5"/>
  <c r="E111" i="5"/>
  <c r="F111" i="5"/>
  <c r="G111" i="5"/>
  <c r="J111" i="5"/>
  <c r="M111" i="5"/>
  <c r="T111" i="5"/>
  <c r="D110" i="5"/>
  <c r="E110" i="5"/>
  <c r="F110" i="5"/>
  <c r="G110" i="5"/>
  <c r="J110" i="5"/>
  <c r="M110" i="5"/>
  <c r="T110" i="5"/>
  <c r="D109" i="5"/>
  <c r="E109" i="5"/>
  <c r="F109" i="5"/>
  <c r="G109" i="5"/>
  <c r="J109" i="5"/>
  <c r="M109" i="5"/>
  <c r="T109" i="5"/>
  <c r="D108" i="5"/>
  <c r="E108" i="5"/>
  <c r="F108" i="5"/>
  <c r="G108" i="5"/>
  <c r="J108" i="5"/>
  <c r="M108" i="5"/>
  <c r="T108" i="5"/>
  <c r="D107" i="5"/>
  <c r="E107" i="5"/>
  <c r="F107" i="5"/>
  <c r="G107" i="5"/>
  <c r="J107" i="5"/>
  <c r="M107" i="5"/>
  <c r="T107" i="5"/>
  <c r="D106" i="5"/>
  <c r="E106" i="5"/>
  <c r="F106" i="5"/>
  <c r="G106" i="5"/>
  <c r="J106" i="5"/>
  <c r="T106" i="5"/>
  <c r="D105" i="5"/>
  <c r="E105" i="5"/>
  <c r="F105" i="5"/>
  <c r="G105" i="5"/>
  <c r="J105" i="5"/>
  <c r="M105" i="5"/>
  <c r="T105" i="5"/>
  <c r="D104" i="5"/>
  <c r="E104" i="5"/>
  <c r="F104" i="5"/>
  <c r="G104" i="5"/>
  <c r="T104" i="5"/>
  <c r="D103" i="5"/>
  <c r="E103" i="5"/>
  <c r="F103" i="5"/>
  <c r="G103" i="5"/>
  <c r="J103" i="5"/>
  <c r="M103" i="5"/>
  <c r="T103" i="5"/>
  <c r="D102" i="5"/>
  <c r="E102" i="5"/>
  <c r="F102" i="5"/>
  <c r="G102" i="5"/>
  <c r="J102" i="5"/>
  <c r="M102" i="5"/>
  <c r="T102" i="5"/>
  <c r="D101" i="5"/>
  <c r="E101" i="5"/>
  <c r="F101" i="5"/>
  <c r="G101" i="5"/>
  <c r="J101" i="5"/>
  <c r="M101" i="5"/>
  <c r="T101" i="5"/>
  <c r="D99" i="5"/>
  <c r="E99" i="5"/>
  <c r="F99" i="5"/>
  <c r="G99" i="5"/>
  <c r="J99" i="5"/>
  <c r="M99" i="5"/>
  <c r="T99" i="5"/>
  <c r="D97" i="5"/>
  <c r="E97" i="5"/>
  <c r="F97" i="5"/>
  <c r="G97" i="5"/>
  <c r="J97" i="5"/>
  <c r="M97" i="5"/>
  <c r="T97" i="5"/>
  <c r="D95" i="5"/>
  <c r="E95" i="5"/>
  <c r="F95" i="5"/>
  <c r="G95" i="5"/>
  <c r="J95" i="5"/>
  <c r="M95" i="5"/>
  <c r="T95" i="5"/>
  <c r="D93" i="5"/>
  <c r="E93" i="5"/>
  <c r="F93" i="5"/>
  <c r="G93" i="5"/>
  <c r="J93" i="5"/>
  <c r="M93" i="5"/>
  <c r="T93" i="5"/>
  <c r="D92" i="5"/>
  <c r="E92" i="5"/>
  <c r="F92" i="5"/>
  <c r="G92" i="5"/>
  <c r="J92" i="5"/>
  <c r="M92" i="5"/>
  <c r="T92" i="5"/>
  <c r="D91" i="5"/>
  <c r="E91" i="5"/>
  <c r="F91" i="5"/>
  <c r="G91" i="5"/>
  <c r="J91" i="5"/>
  <c r="M91" i="5"/>
  <c r="N91" i="5"/>
  <c r="N97" i="5" s="1"/>
  <c r="T91" i="5"/>
  <c r="N90" i="5"/>
  <c r="N96" i="5" s="1"/>
  <c r="D89" i="5"/>
  <c r="E89" i="5"/>
  <c r="F89" i="5"/>
  <c r="G89" i="5"/>
  <c r="J89" i="5"/>
  <c r="M89" i="5"/>
  <c r="T89" i="5"/>
  <c r="J88" i="5"/>
  <c r="M86" i="5"/>
  <c r="D87" i="5"/>
  <c r="E87" i="5"/>
  <c r="F87" i="5"/>
  <c r="G87" i="5"/>
  <c r="J87" i="5"/>
  <c r="T87" i="5"/>
  <c r="D85" i="5"/>
  <c r="E85" i="5"/>
  <c r="F85" i="5"/>
  <c r="G85" i="5"/>
  <c r="J85" i="5"/>
  <c r="M85" i="5"/>
  <c r="D83" i="5"/>
  <c r="E83" i="5"/>
  <c r="F83" i="5"/>
  <c r="G83" i="5"/>
  <c r="J83" i="5"/>
  <c r="M83" i="5"/>
  <c r="T83" i="5"/>
  <c r="D81" i="5"/>
  <c r="E81" i="5"/>
  <c r="F81" i="5"/>
  <c r="G81" i="5"/>
  <c r="J81" i="5"/>
  <c r="M81" i="5"/>
  <c r="T81" i="5"/>
  <c r="D80" i="5"/>
  <c r="E80" i="5"/>
  <c r="F80" i="5"/>
  <c r="G80" i="5"/>
  <c r="J80" i="5"/>
  <c r="M80" i="5"/>
  <c r="T80" i="5"/>
  <c r="N79" i="5"/>
  <c r="D77" i="5"/>
  <c r="E77" i="5"/>
  <c r="F77" i="5"/>
  <c r="G77" i="5"/>
  <c r="J77" i="5"/>
  <c r="M77" i="5"/>
  <c r="T77" i="5"/>
  <c r="D75" i="5"/>
  <c r="E75" i="5"/>
  <c r="F75" i="5"/>
  <c r="G75" i="5"/>
  <c r="J75" i="5"/>
  <c r="M75" i="5"/>
  <c r="T75" i="5"/>
  <c r="F73" i="5"/>
  <c r="E73" i="5"/>
  <c r="F72" i="5"/>
  <c r="E72" i="5"/>
  <c r="D73" i="5"/>
  <c r="G73" i="5"/>
  <c r="J73" i="5"/>
  <c r="M73" i="5"/>
  <c r="T73" i="5"/>
  <c r="D71" i="5"/>
  <c r="E71" i="5"/>
  <c r="F71" i="5"/>
  <c r="G71" i="5"/>
  <c r="J71" i="5"/>
  <c r="M71" i="5"/>
  <c r="T71" i="5"/>
  <c r="D69" i="5"/>
  <c r="E69" i="5"/>
  <c r="F69" i="5"/>
  <c r="G69" i="5"/>
  <c r="J69" i="5"/>
  <c r="M69" i="5"/>
  <c r="T69" i="5"/>
  <c r="D67" i="5"/>
  <c r="E67" i="5"/>
  <c r="F67" i="5"/>
  <c r="G67" i="5"/>
  <c r="J67" i="5"/>
  <c r="M67" i="5"/>
  <c r="T67" i="5"/>
  <c r="D65" i="5"/>
  <c r="E65" i="5"/>
  <c r="F65" i="5"/>
  <c r="G65" i="5"/>
  <c r="J65" i="5"/>
  <c r="K65" i="5"/>
  <c r="L65" i="5"/>
  <c r="T65" i="5"/>
  <c r="D63" i="5"/>
  <c r="E63" i="5"/>
  <c r="F63" i="5"/>
  <c r="G63" i="5"/>
  <c r="J63" i="5"/>
  <c r="M63" i="5"/>
  <c r="T63" i="5"/>
  <c r="D61" i="5"/>
  <c r="E61" i="5"/>
  <c r="F61" i="5"/>
  <c r="G61" i="5"/>
  <c r="J61" i="5"/>
  <c r="M61" i="5"/>
  <c r="T61" i="5"/>
  <c r="D59" i="5"/>
  <c r="E59" i="5"/>
  <c r="F59" i="5"/>
  <c r="G59" i="5"/>
  <c r="J59" i="5"/>
  <c r="M59" i="5"/>
  <c r="T59" i="5"/>
  <c r="D57" i="5"/>
  <c r="E57" i="5"/>
  <c r="F57" i="5"/>
  <c r="G57" i="5"/>
  <c r="J57" i="5"/>
  <c r="M57" i="5"/>
  <c r="T57" i="5"/>
  <c r="D55" i="5"/>
  <c r="E55" i="5"/>
  <c r="F55" i="5"/>
  <c r="G55" i="5"/>
  <c r="J55" i="5"/>
  <c r="M55" i="5"/>
  <c r="T55" i="5"/>
  <c r="D53" i="5"/>
  <c r="E53" i="5"/>
  <c r="F53" i="5"/>
  <c r="G53" i="5"/>
  <c r="J53" i="5"/>
  <c r="M53" i="5"/>
  <c r="T53" i="5"/>
  <c r="D51" i="5"/>
  <c r="E51" i="5"/>
  <c r="F51" i="5"/>
  <c r="G51" i="5"/>
  <c r="J51" i="5"/>
  <c r="M51" i="5"/>
  <c r="T51" i="5"/>
  <c r="D49" i="5"/>
  <c r="E49" i="5"/>
  <c r="F49" i="5"/>
  <c r="G49" i="5"/>
  <c r="J49" i="5"/>
  <c r="M49" i="5"/>
  <c r="T49" i="5"/>
  <c r="D47" i="5"/>
  <c r="E47" i="5"/>
  <c r="F47" i="5"/>
  <c r="G47" i="5"/>
  <c r="J47" i="5"/>
  <c r="M47" i="5"/>
  <c r="T47" i="5"/>
  <c r="D45" i="5"/>
  <c r="E45" i="5"/>
  <c r="F45" i="5"/>
  <c r="G45" i="5"/>
  <c r="J45" i="5"/>
  <c r="M45" i="5"/>
  <c r="T45" i="5"/>
  <c r="D43" i="5"/>
  <c r="E43" i="5"/>
  <c r="F43" i="5"/>
  <c r="G43" i="5"/>
  <c r="J43" i="5"/>
  <c r="M43" i="5"/>
  <c r="T43" i="5"/>
  <c r="D41" i="5"/>
  <c r="E41" i="5"/>
  <c r="F41" i="5"/>
  <c r="G41" i="5"/>
  <c r="J41" i="5"/>
  <c r="M41" i="5"/>
  <c r="T41" i="5"/>
  <c r="D39" i="5"/>
  <c r="E39" i="5"/>
  <c r="F39" i="5"/>
  <c r="G39" i="5"/>
  <c r="J39" i="5"/>
  <c r="M39" i="5"/>
  <c r="T39" i="5"/>
  <c r="D37" i="5"/>
  <c r="E37" i="5"/>
  <c r="F37" i="5"/>
  <c r="G37" i="5"/>
  <c r="J37" i="5"/>
  <c r="M37" i="5"/>
  <c r="T37" i="5"/>
  <c r="D35" i="5"/>
  <c r="E35" i="5"/>
  <c r="F35" i="5"/>
  <c r="G35" i="5"/>
  <c r="J35" i="5"/>
  <c r="M35" i="5"/>
  <c r="T35" i="5"/>
  <c r="D33" i="5"/>
  <c r="E33" i="5"/>
  <c r="F33" i="5"/>
  <c r="G33" i="5"/>
  <c r="J33" i="5"/>
  <c r="M33" i="5"/>
  <c r="T33" i="5"/>
  <c r="D31" i="5"/>
  <c r="E31" i="5"/>
  <c r="F31" i="5"/>
  <c r="G31" i="5"/>
  <c r="J31" i="5"/>
  <c r="M31" i="5"/>
  <c r="T31" i="5"/>
  <c r="D29" i="5"/>
  <c r="E29" i="5"/>
  <c r="F29" i="5"/>
  <c r="G29" i="5"/>
  <c r="J29" i="5"/>
  <c r="T29" i="5"/>
  <c r="D27" i="5"/>
  <c r="E27" i="5"/>
  <c r="F27" i="5"/>
  <c r="G27" i="5"/>
  <c r="J27" i="5"/>
  <c r="M27" i="5"/>
  <c r="T27" i="5"/>
  <c r="D25" i="5"/>
  <c r="E25" i="5"/>
  <c r="F25" i="5"/>
  <c r="G25" i="5"/>
  <c r="J25" i="5"/>
  <c r="M25" i="5"/>
  <c r="T25" i="5"/>
  <c r="D26" i="5"/>
  <c r="E26" i="5"/>
  <c r="F26" i="5"/>
  <c r="G26" i="5"/>
  <c r="J26" i="5"/>
  <c r="M26" i="5"/>
  <c r="T26" i="5"/>
  <c r="D28" i="5"/>
  <c r="E28" i="5"/>
  <c r="F28" i="5"/>
  <c r="G28" i="5"/>
  <c r="J28" i="5"/>
  <c r="M28" i="5"/>
  <c r="T28" i="5"/>
  <c r="D30" i="5"/>
  <c r="E30" i="5"/>
  <c r="F30" i="5"/>
  <c r="G30" i="5"/>
  <c r="J30" i="5"/>
  <c r="M30" i="5"/>
  <c r="T30" i="5"/>
  <c r="D32" i="5"/>
  <c r="E32" i="5"/>
  <c r="F32" i="5"/>
  <c r="J32" i="5"/>
  <c r="M32" i="5"/>
  <c r="T32" i="5"/>
  <c r="D21" i="5"/>
  <c r="E21" i="5"/>
  <c r="F21" i="5"/>
  <c r="G21" i="5"/>
  <c r="J21" i="5"/>
  <c r="M21" i="5"/>
  <c r="T21" i="5"/>
  <c r="D19" i="5"/>
  <c r="E19" i="5"/>
  <c r="F19" i="5"/>
  <c r="G19" i="5"/>
  <c r="J19" i="5"/>
  <c r="M19" i="5"/>
  <c r="T19" i="5"/>
  <c r="D17" i="5"/>
  <c r="E17" i="5"/>
  <c r="F17" i="5"/>
  <c r="G17" i="5"/>
  <c r="J17" i="5"/>
  <c r="M17" i="5"/>
  <c r="D15" i="5"/>
  <c r="E15" i="5"/>
  <c r="F15" i="5"/>
  <c r="G15" i="5"/>
  <c r="J15" i="5"/>
  <c r="M15" i="5"/>
  <c r="T15" i="5"/>
  <c r="D13" i="5"/>
  <c r="E13" i="5"/>
  <c r="F13" i="5"/>
  <c r="G13" i="5"/>
  <c r="J13" i="5"/>
  <c r="M13" i="5"/>
  <c r="T13" i="5"/>
  <c r="D11" i="5"/>
  <c r="E11" i="5"/>
  <c r="F11" i="5"/>
  <c r="G11" i="5"/>
  <c r="J11" i="5"/>
  <c r="M11" i="5"/>
  <c r="T11" i="5"/>
  <c r="D6" i="5"/>
  <c r="E6" i="5"/>
  <c r="F6" i="5"/>
  <c r="G6" i="5"/>
  <c r="J6" i="5"/>
  <c r="M6" i="5"/>
  <c r="D4" i="5"/>
  <c r="E4" i="5"/>
  <c r="F4" i="5"/>
  <c r="G4" i="5"/>
  <c r="J4" i="5"/>
  <c r="M4" i="5"/>
  <c r="T4" i="5"/>
  <c r="D2" i="5"/>
  <c r="E2" i="5"/>
  <c r="F2" i="5"/>
  <c r="G2" i="5"/>
  <c r="J2" i="5"/>
  <c r="M2" i="5"/>
  <c r="T2" i="5"/>
  <c r="D8" i="5"/>
  <c r="E8" i="5"/>
  <c r="F8" i="5"/>
  <c r="G8" i="5"/>
  <c r="J8" i="5"/>
  <c r="M8" i="5"/>
  <c r="T8" i="5"/>
  <c r="T3" i="5"/>
  <c r="T5" i="5"/>
  <c r="T7" i="5"/>
  <c r="T9" i="5"/>
  <c r="T10" i="5"/>
  <c r="T12" i="5"/>
  <c r="T14" i="5"/>
  <c r="T16" i="5"/>
  <c r="T17" i="5"/>
  <c r="T18" i="5"/>
  <c r="T20" i="5"/>
  <c r="T22" i="5"/>
  <c r="T23" i="5"/>
  <c r="T24" i="5"/>
  <c r="T34" i="5"/>
  <c r="T36" i="5"/>
  <c r="T38" i="5"/>
  <c r="T40" i="5"/>
  <c r="T42" i="5"/>
  <c r="T44" i="5"/>
  <c r="T46" i="5"/>
  <c r="T48" i="5"/>
  <c r="T50" i="5"/>
  <c r="T52" i="5"/>
  <c r="T54" i="5"/>
  <c r="T56" i="5"/>
  <c r="T58" i="5"/>
  <c r="T60" i="5"/>
  <c r="T62" i="5"/>
  <c r="T64" i="5"/>
  <c r="T66" i="5"/>
  <c r="T68" i="5"/>
  <c r="T70" i="5"/>
  <c r="T72" i="5"/>
  <c r="T74" i="5"/>
  <c r="T76" i="5"/>
  <c r="T78" i="5"/>
  <c r="T79" i="5"/>
  <c r="T82" i="5"/>
  <c r="T84" i="5"/>
  <c r="T85" i="5"/>
  <c r="T86" i="5"/>
  <c r="T88" i="5"/>
  <c r="T90" i="5"/>
  <c r="T94" i="5"/>
  <c r="T96" i="5"/>
  <c r="T98" i="5"/>
  <c r="T100" i="5"/>
  <c r="T394" i="5"/>
  <c r="T395" i="5"/>
  <c r="T396" i="5"/>
  <c r="T397" i="5"/>
  <c r="T398" i="5"/>
  <c r="T399" i="5"/>
  <c r="T400" i="5"/>
  <c r="T401" i="5"/>
  <c r="T402" i="5"/>
  <c r="T403" i="5"/>
  <c r="T404" i="5"/>
  <c r="T405" i="5"/>
  <c r="T406" i="5"/>
  <c r="T407" i="5"/>
  <c r="T408" i="5"/>
  <c r="T409" i="5"/>
  <c r="T410" i="5"/>
  <c r="T411" i="5"/>
  <c r="T412" i="5"/>
  <c r="T413" i="5"/>
  <c r="T414" i="5"/>
  <c r="T415" i="5"/>
  <c r="T416" i="5"/>
  <c r="T417" i="5"/>
  <c r="T418" i="5"/>
  <c r="T419" i="5"/>
  <c r="T420" i="5"/>
  <c r="T421" i="5"/>
  <c r="T422" i="5"/>
  <c r="T423" i="5"/>
  <c r="T424" i="5"/>
  <c r="T425" i="5"/>
  <c r="T426" i="5"/>
  <c r="T427" i="5"/>
  <c r="T428" i="5"/>
  <c r="T429" i="5"/>
  <c r="T430" i="5"/>
  <c r="T431" i="5"/>
  <c r="T432" i="5"/>
  <c r="T433" i="5"/>
  <c r="T434" i="5"/>
  <c r="T435" i="5"/>
  <c r="T436" i="5"/>
  <c r="T437" i="5"/>
  <c r="T438" i="5"/>
  <c r="T439" i="5"/>
  <c r="T440" i="5"/>
  <c r="T441" i="5"/>
  <c r="T442" i="5"/>
  <c r="T443" i="5"/>
  <c r="T444" i="5"/>
  <c r="T445" i="5"/>
  <c r="T446" i="5"/>
  <c r="T447" i="5"/>
  <c r="T448" i="5"/>
  <c r="T449" i="5"/>
  <c r="T450" i="5"/>
  <c r="T451" i="5"/>
  <c r="T452" i="5"/>
  <c r="T453" i="5"/>
  <c r="T454" i="5"/>
  <c r="T455" i="5"/>
  <c r="T456" i="5"/>
  <c r="T457" i="5"/>
  <c r="T458" i="5"/>
  <c r="T459" i="5"/>
  <c r="T460" i="5"/>
  <c r="T461" i="5"/>
  <c r="T462" i="5"/>
  <c r="T463" i="5"/>
  <c r="T464" i="5"/>
  <c r="T465" i="5"/>
  <c r="T466" i="5"/>
  <c r="T467" i="5"/>
  <c r="T468" i="5"/>
  <c r="T469" i="5"/>
  <c r="T470" i="5"/>
  <c r="T471" i="5"/>
  <c r="T472" i="5"/>
  <c r="T473" i="5"/>
  <c r="T474" i="5"/>
  <c r="M3" i="5"/>
  <c r="M5" i="5"/>
  <c r="M7" i="5"/>
  <c r="M9" i="5"/>
  <c r="M10" i="5"/>
  <c r="M12" i="5"/>
  <c r="M14" i="5"/>
  <c r="M16" i="5"/>
  <c r="M18" i="5"/>
  <c r="M20" i="5"/>
  <c r="M22" i="5"/>
  <c r="M23" i="5"/>
  <c r="M24" i="5"/>
  <c r="M34" i="5"/>
  <c r="M36" i="5"/>
  <c r="M38" i="5"/>
  <c r="M40" i="5"/>
  <c r="M42" i="5"/>
  <c r="M44" i="5"/>
  <c r="M46" i="5"/>
  <c r="M48" i="5"/>
  <c r="M50" i="5"/>
  <c r="M52" i="5"/>
  <c r="M54" i="5"/>
  <c r="M56" i="5"/>
  <c r="M58" i="5"/>
  <c r="M60" i="5"/>
  <c r="M62" i="5"/>
  <c r="M64" i="5"/>
  <c r="M66" i="5"/>
  <c r="M68" i="5"/>
  <c r="M70" i="5"/>
  <c r="M72" i="5"/>
  <c r="M74" i="5"/>
  <c r="M76" i="5"/>
  <c r="M78" i="5"/>
  <c r="M79" i="5"/>
  <c r="M82" i="5"/>
  <c r="M84" i="5"/>
  <c r="M88" i="5"/>
  <c r="M90" i="5"/>
  <c r="M94" i="5"/>
  <c r="M96" i="5"/>
  <c r="M98" i="5"/>
  <c r="M100" i="5"/>
  <c r="M394" i="5"/>
  <c r="M395" i="5"/>
  <c r="M396" i="5"/>
  <c r="M397" i="5"/>
  <c r="M398" i="5"/>
  <c r="M399" i="5"/>
  <c r="M400" i="5"/>
  <c r="M401" i="5"/>
  <c r="M402" i="5"/>
  <c r="M403" i="5"/>
  <c r="M404" i="5"/>
  <c r="M405" i="5"/>
  <c r="M406" i="5"/>
  <c r="M407" i="5"/>
  <c r="M408" i="5"/>
  <c r="M409" i="5"/>
  <c r="M410" i="5"/>
  <c r="M411" i="5"/>
  <c r="M412" i="5"/>
  <c r="M413" i="5"/>
  <c r="M414" i="5"/>
  <c r="M415" i="5"/>
  <c r="M416" i="5"/>
  <c r="M417" i="5"/>
  <c r="M418" i="5"/>
  <c r="M419" i="5"/>
  <c r="M420" i="5"/>
  <c r="M421" i="5"/>
  <c r="M422" i="5"/>
  <c r="M423" i="5"/>
  <c r="M424" i="5"/>
  <c r="M425" i="5"/>
  <c r="M426" i="5"/>
  <c r="M427" i="5"/>
  <c r="M428" i="5"/>
  <c r="M429" i="5"/>
  <c r="M430" i="5"/>
  <c r="M431" i="5"/>
  <c r="M432" i="5"/>
  <c r="M433" i="5"/>
  <c r="M434" i="5"/>
  <c r="M435" i="5"/>
  <c r="M436" i="5"/>
  <c r="M437" i="5"/>
  <c r="M438" i="5"/>
  <c r="M439" i="5"/>
  <c r="M440" i="5"/>
  <c r="M441" i="5"/>
  <c r="M442" i="5"/>
  <c r="M443" i="5"/>
  <c r="M444" i="5"/>
  <c r="M445" i="5"/>
  <c r="M446" i="5"/>
  <c r="M447" i="5"/>
  <c r="M448" i="5"/>
  <c r="M449" i="5"/>
  <c r="M450" i="5"/>
  <c r="M451" i="5"/>
  <c r="M452" i="5"/>
  <c r="M453" i="5"/>
  <c r="M454" i="5"/>
  <c r="M455" i="5"/>
  <c r="M456" i="5"/>
  <c r="M457" i="5"/>
  <c r="M458" i="5"/>
  <c r="M459" i="5"/>
  <c r="M460" i="5"/>
  <c r="M461" i="5"/>
  <c r="M462" i="5"/>
  <c r="M463" i="5"/>
  <c r="M464" i="5"/>
  <c r="M465" i="5"/>
  <c r="M466" i="5"/>
  <c r="M467" i="5"/>
  <c r="M468" i="5"/>
  <c r="M469" i="5"/>
  <c r="M470" i="5"/>
  <c r="M471" i="5"/>
  <c r="M472" i="5"/>
  <c r="M473" i="5"/>
  <c r="M474" i="5"/>
  <c r="J3" i="5"/>
  <c r="J5" i="5"/>
  <c r="J7" i="5"/>
  <c r="J9" i="5"/>
  <c r="J10" i="5"/>
  <c r="J12" i="5"/>
  <c r="J14" i="5"/>
  <c r="J16" i="5"/>
  <c r="J18" i="5"/>
  <c r="J20" i="5"/>
  <c r="J22" i="5"/>
  <c r="J23" i="5"/>
  <c r="J24" i="5"/>
  <c r="J34" i="5"/>
  <c r="J36" i="5"/>
  <c r="J38" i="5"/>
  <c r="J40" i="5"/>
  <c r="J42" i="5"/>
  <c r="J44" i="5"/>
  <c r="J46" i="5"/>
  <c r="J48" i="5"/>
  <c r="J50" i="5"/>
  <c r="J52" i="5"/>
  <c r="J54" i="5"/>
  <c r="J56" i="5"/>
  <c r="J58" i="5"/>
  <c r="J60" i="5"/>
  <c r="J62" i="5"/>
  <c r="J64" i="5"/>
  <c r="J66" i="5"/>
  <c r="J68" i="5"/>
  <c r="J70" i="5"/>
  <c r="J72" i="5"/>
  <c r="J74" i="5"/>
  <c r="J76" i="5"/>
  <c r="J78" i="5"/>
  <c r="J79" i="5"/>
  <c r="J82" i="5"/>
  <c r="J84" i="5"/>
  <c r="J86" i="5"/>
  <c r="J90" i="5"/>
  <c r="J94" i="5"/>
  <c r="J96" i="5"/>
  <c r="J98" i="5"/>
  <c r="J100" i="5"/>
  <c r="J394" i="5"/>
  <c r="J395" i="5"/>
  <c r="J396" i="5"/>
  <c r="J397" i="5"/>
  <c r="J398" i="5"/>
  <c r="J399" i="5"/>
  <c r="J400" i="5"/>
  <c r="J401" i="5"/>
  <c r="J402" i="5"/>
  <c r="J403" i="5"/>
  <c r="J404" i="5"/>
  <c r="J405" i="5"/>
  <c r="J406" i="5"/>
  <c r="J407" i="5"/>
  <c r="J408" i="5"/>
  <c r="J409" i="5"/>
  <c r="J410" i="5"/>
  <c r="J411" i="5"/>
  <c r="J412" i="5"/>
  <c r="J413" i="5"/>
  <c r="J414" i="5"/>
  <c r="J415" i="5"/>
  <c r="J416" i="5"/>
  <c r="J417" i="5"/>
  <c r="J418" i="5"/>
  <c r="J419" i="5"/>
  <c r="J420" i="5"/>
  <c r="J421" i="5"/>
  <c r="J422" i="5"/>
  <c r="J423" i="5"/>
  <c r="J424" i="5"/>
  <c r="J425" i="5"/>
  <c r="J426" i="5"/>
  <c r="J427" i="5"/>
  <c r="J428" i="5"/>
  <c r="J429" i="5"/>
  <c r="J430" i="5"/>
  <c r="J431" i="5"/>
  <c r="J432" i="5"/>
  <c r="J433" i="5"/>
  <c r="J434" i="5"/>
  <c r="J435" i="5"/>
  <c r="J436" i="5"/>
  <c r="J437" i="5"/>
  <c r="J438" i="5"/>
  <c r="J439" i="5"/>
  <c r="J440" i="5"/>
  <c r="J441" i="5"/>
  <c r="J442" i="5"/>
  <c r="J443" i="5"/>
  <c r="J444" i="5"/>
  <c r="J445" i="5"/>
  <c r="J446" i="5"/>
  <c r="J447" i="5"/>
  <c r="J448" i="5"/>
  <c r="J449" i="5"/>
  <c r="J450" i="5"/>
  <c r="J451" i="5"/>
  <c r="J452" i="5"/>
  <c r="J453" i="5"/>
  <c r="J454" i="5"/>
  <c r="J455" i="5"/>
  <c r="J456" i="5"/>
  <c r="J457" i="5"/>
  <c r="J458" i="5"/>
  <c r="J459" i="5"/>
  <c r="J460" i="5"/>
  <c r="J461" i="5"/>
  <c r="J462" i="5"/>
  <c r="J463" i="5"/>
  <c r="J464" i="5"/>
  <c r="J465" i="5"/>
  <c r="J466" i="5"/>
  <c r="J467" i="5"/>
  <c r="J468" i="5"/>
  <c r="J469" i="5"/>
  <c r="J470" i="5"/>
  <c r="J471" i="5"/>
  <c r="J472" i="5"/>
  <c r="J473" i="5"/>
  <c r="J474" i="5"/>
  <c r="G3" i="5"/>
  <c r="G5" i="5"/>
  <c r="G7" i="5"/>
  <c r="G9" i="5"/>
  <c r="G10" i="5"/>
  <c r="G12" i="5"/>
  <c r="G14" i="5"/>
  <c r="G16" i="5"/>
  <c r="G18" i="5"/>
  <c r="G20" i="5"/>
  <c r="G22" i="5"/>
  <c r="G23" i="5"/>
  <c r="G24" i="5"/>
  <c r="G34" i="5"/>
  <c r="G36" i="5"/>
  <c r="G38" i="5"/>
  <c r="G40" i="5"/>
  <c r="G42" i="5"/>
  <c r="G44" i="5"/>
  <c r="G46" i="5"/>
  <c r="G48" i="5"/>
  <c r="G50" i="5"/>
  <c r="G52" i="5"/>
  <c r="G54" i="5"/>
  <c r="G56" i="5"/>
  <c r="G58" i="5"/>
  <c r="G60" i="5"/>
  <c r="G62" i="5"/>
  <c r="G64" i="5"/>
  <c r="G66" i="5"/>
  <c r="G68" i="5"/>
  <c r="G70" i="5"/>
  <c r="G72" i="5"/>
  <c r="G74" i="5"/>
  <c r="G76" i="5"/>
  <c r="G78" i="5"/>
  <c r="G79" i="5"/>
  <c r="G82" i="5"/>
  <c r="G84" i="5"/>
  <c r="G86" i="5"/>
  <c r="G88" i="5"/>
  <c r="G90" i="5"/>
  <c r="G94" i="5"/>
  <c r="G96" i="5"/>
  <c r="G98" i="5"/>
  <c r="G100" i="5"/>
  <c r="G394" i="5"/>
  <c r="G395" i="5"/>
  <c r="G396" i="5"/>
  <c r="G397" i="5"/>
  <c r="G398" i="5"/>
  <c r="G399" i="5"/>
  <c r="G400" i="5"/>
  <c r="G401" i="5"/>
  <c r="G402" i="5"/>
  <c r="G403" i="5"/>
  <c r="G404" i="5"/>
  <c r="G405" i="5"/>
  <c r="G406" i="5"/>
  <c r="G407" i="5"/>
  <c r="G408" i="5"/>
  <c r="G409" i="5"/>
  <c r="G410" i="5"/>
  <c r="G411" i="5"/>
  <c r="G412" i="5"/>
  <c r="G413" i="5"/>
  <c r="G414" i="5"/>
  <c r="G415" i="5"/>
  <c r="G416" i="5"/>
  <c r="G417" i="5"/>
  <c r="G418" i="5"/>
  <c r="G419" i="5"/>
  <c r="G420" i="5"/>
  <c r="G421" i="5"/>
  <c r="G422" i="5"/>
  <c r="G423" i="5"/>
  <c r="G424" i="5"/>
  <c r="G425" i="5"/>
  <c r="G426" i="5"/>
  <c r="G427" i="5"/>
  <c r="G428" i="5"/>
  <c r="G429" i="5"/>
  <c r="G430" i="5"/>
  <c r="G431" i="5"/>
  <c r="G432" i="5"/>
  <c r="G433" i="5"/>
  <c r="G434" i="5"/>
  <c r="G435" i="5"/>
  <c r="G436" i="5"/>
  <c r="G437" i="5"/>
  <c r="G438" i="5"/>
  <c r="G439" i="5"/>
  <c r="G440" i="5"/>
  <c r="G441" i="5"/>
  <c r="G442" i="5"/>
  <c r="G443" i="5"/>
  <c r="G444" i="5"/>
  <c r="G445" i="5"/>
  <c r="G446" i="5"/>
  <c r="G447" i="5"/>
  <c r="G448" i="5"/>
  <c r="G449" i="5"/>
  <c r="G450" i="5"/>
  <c r="G451" i="5"/>
  <c r="G452" i="5"/>
  <c r="G453" i="5"/>
  <c r="G454" i="5"/>
  <c r="G455" i="5"/>
  <c r="G456" i="5"/>
  <c r="G457" i="5"/>
  <c r="G458" i="5"/>
  <c r="G459" i="5"/>
  <c r="G460" i="5"/>
  <c r="G461" i="5"/>
  <c r="G462" i="5"/>
  <c r="G463" i="5"/>
  <c r="G464" i="5"/>
  <c r="G465" i="5"/>
  <c r="G466" i="5"/>
  <c r="G467" i="5"/>
  <c r="G468" i="5"/>
  <c r="G469" i="5"/>
  <c r="G470" i="5"/>
  <c r="G471" i="5"/>
  <c r="G472" i="5"/>
  <c r="G473" i="5"/>
  <c r="G474" i="5"/>
  <c r="F3" i="5"/>
  <c r="F5" i="5"/>
  <c r="F7" i="5"/>
  <c r="F9" i="5"/>
  <c r="F10" i="5"/>
  <c r="F12" i="5"/>
  <c r="F14" i="5"/>
  <c r="F16" i="5"/>
  <c r="F18" i="5"/>
  <c r="F20" i="5"/>
  <c r="F22" i="5"/>
  <c r="F23" i="5"/>
  <c r="F24" i="5"/>
  <c r="F34" i="5"/>
  <c r="F36" i="5"/>
  <c r="F38" i="5"/>
  <c r="F40" i="5"/>
  <c r="F42" i="5"/>
  <c r="F44" i="5"/>
  <c r="F46" i="5"/>
  <c r="F48" i="5"/>
  <c r="F50" i="5"/>
  <c r="F52" i="5"/>
  <c r="F54" i="5"/>
  <c r="F56" i="5"/>
  <c r="F58" i="5"/>
  <c r="F60" i="5"/>
  <c r="F62" i="5"/>
  <c r="F64" i="5"/>
  <c r="F66" i="5"/>
  <c r="F68" i="5"/>
  <c r="F70" i="5"/>
  <c r="F74" i="5"/>
  <c r="F76" i="5"/>
  <c r="F78" i="5"/>
  <c r="F79" i="5"/>
  <c r="F82" i="5"/>
  <c r="F84" i="5"/>
  <c r="F86" i="5"/>
  <c r="F88" i="5"/>
  <c r="F90" i="5"/>
  <c r="F94" i="5"/>
  <c r="F96" i="5"/>
  <c r="F98" i="5"/>
  <c r="F100" i="5"/>
  <c r="F394" i="5"/>
  <c r="F395" i="5"/>
  <c r="F396" i="5"/>
  <c r="F397" i="5"/>
  <c r="F398" i="5"/>
  <c r="F399" i="5"/>
  <c r="F400" i="5"/>
  <c r="F401" i="5"/>
  <c r="F402" i="5"/>
  <c r="F403" i="5"/>
  <c r="F404" i="5"/>
  <c r="F405" i="5"/>
  <c r="F406" i="5"/>
  <c r="F407" i="5"/>
  <c r="F408" i="5"/>
  <c r="F409" i="5"/>
  <c r="F410" i="5"/>
  <c r="F411" i="5"/>
  <c r="F412" i="5"/>
  <c r="F413" i="5"/>
  <c r="F414" i="5"/>
  <c r="F415" i="5"/>
  <c r="F416" i="5"/>
  <c r="F417" i="5"/>
  <c r="F418" i="5"/>
  <c r="F419" i="5"/>
  <c r="F420" i="5"/>
  <c r="F421" i="5"/>
  <c r="F422" i="5"/>
  <c r="F423" i="5"/>
  <c r="F424" i="5"/>
  <c r="F425" i="5"/>
  <c r="F426" i="5"/>
  <c r="F427" i="5"/>
  <c r="F428" i="5"/>
  <c r="F429" i="5"/>
  <c r="F430" i="5"/>
  <c r="F431" i="5"/>
  <c r="F432" i="5"/>
  <c r="F433" i="5"/>
  <c r="F434" i="5"/>
  <c r="F435" i="5"/>
  <c r="F436" i="5"/>
  <c r="F437" i="5"/>
  <c r="F438" i="5"/>
  <c r="F439" i="5"/>
  <c r="F440" i="5"/>
  <c r="F441" i="5"/>
  <c r="F442" i="5"/>
  <c r="F443" i="5"/>
  <c r="F444" i="5"/>
  <c r="F445" i="5"/>
  <c r="F446" i="5"/>
  <c r="F447" i="5"/>
  <c r="F448" i="5"/>
  <c r="F449" i="5"/>
  <c r="F450" i="5"/>
  <c r="F451" i="5"/>
  <c r="F452" i="5"/>
  <c r="F453" i="5"/>
  <c r="F454" i="5"/>
  <c r="F455" i="5"/>
  <c r="F456" i="5"/>
  <c r="F457" i="5"/>
  <c r="F458" i="5"/>
  <c r="F459" i="5"/>
  <c r="F460" i="5"/>
  <c r="F461" i="5"/>
  <c r="F462" i="5"/>
  <c r="F463" i="5"/>
  <c r="F464" i="5"/>
  <c r="F465" i="5"/>
  <c r="F466" i="5"/>
  <c r="F467" i="5"/>
  <c r="F468" i="5"/>
  <c r="F469" i="5"/>
  <c r="F470" i="5"/>
  <c r="F471" i="5"/>
  <c r="F472" i="5"/>
  <c r="F473" i="5"/>
  <c r="F474" i="5"/>
  <c r="E3" i="5"/>
  <c r="E5" i="5"/>
  <c r="E7" i="5"/>
  <c r="E9" i="5"/>
  <c r="E10" i="5"/>
  <c r="E12" i="5"/>
  <c r="E14" i="5"/>
  <c r="E16" i="5"/>
  <c r="E18" i="5"/>
  <c r="E20" i="5"/>
  <c r="E22" i="5"/>
  <c r="E23" i="5"/>
  <c r="E24" i="5"/>
  <c r="E34" i="5"/>
  <c r="E36" i="5"/>
  <c r="E38" i="5"/>
  <c r="E40" i="5"/>
  <c r="E42" i="5"/>
  <c r="E44" i="5"/>
  <c r="E46" i="5"/>
  <c r="E48" i="5"/>
  <c r="E50" i="5"/>
  <c r="E52" i="5"/>
  <c r="E54" i="5"/>
  <c r="E56" i="5"/>
  <c r="E58" i="5"/>
  <c r="E60" i="5"/>
  <c r="E62" i="5"/>
  <c r="E64" i="5"/>
  <c r="E66" i="5"/>
  <c r="E68" i="5"/>
  <c r="E70" i="5"/>
  <c r="E74" i="5"/>
  <c r="E76" i="5"/>
  <c r="E78" i="5"/>
  <c r="E79" i="5"/>
  <c r="E82" i="5"/>
  <c r="E84" i="5"/>
  <c r="E86" i="5"/>
  <c r="E88" i="5"/>
  <c r="E90" i="5"/>
  <c r="E94" i="5"/>
  <c r="E96" i="5"/>
  <c r="E98" i="5"/>
  <c r="E100"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D3" i="5"/>
  <c r="D5" i="5"/>
  <c r="D7" i="5"/>
  <c r="D9" i="5"/>
  <c r="D10" i="5"/>
  <c r="D12" i="5"/>
  <c r="D14" i="5"/>
  <c r="D16" i="5"/>
  <c r="D18" i="5"/>
  <c r="D20" i="5"/>
  <c r="D22" i="5"/>
  <c r="D23" i="5"/>
  <c r="D24" i="5"/>
  <c r="D34" i="5"/>
  <c r="D36" i="5"/>
  <c r="D38" i="5"/>
  <c r="D40" i="5"/>
  <c r="D42" i="5"/>
  <c r="D44" i="5"/>
  <c r="D46" i="5"/>
  <c r="D48" i="5"/>
  <c r="D50" i="5"/>
  <c r="D52" i="5"/>
  <c r="D54" i="5"/>
  <c r="D56" i="5"/>
  <c r="D58" i="5"/>
  <c r="D60" i="5"/>
  <c r="D62" i="5"/>
  <c r="D64" i="5"/>
  <c r="D66" i="5"/>
  <c r="D68" i="5"/>
  <c r="D70" i="5"/>
  <c r="D72" i="5"/>
  <c r="D74" i="5"/>
  <c r="D76" i="5"/>
  <c r="D78" i="5"/>
  <c r="D79" i="5"/>
  <c r="D82" i="5"/>
  <c r="D84" i="5"/>
  <c r="D86" i="5"/>
  <c r="D88" i="5"/>
  <c r="D90" i="5"/>
  <c r="D94" i="5"/>
  <c r="D96" i="5"/>
  <c r="D98" i="5"/>
  <c r="D100" i="5"/>
  <c r="D394" i="5"/>
  <c r="D395" i="5"/>
  <c r="D396" i="5"/>
  <c r="D397" i="5"/>
  <c r="D398" i="5"/>
  <c r="D399" i="5"/>
  <c r="D400" i="5"/>
  <c r="D401" i="5"/>
  <c r="D402" i="5"/>
  <c r="D403" i="5"/>
  <c r="D404" i="5"/>
  <c r="D405" i="5"/>
  <c r="D406" i="5"/>
  <c r="D407" i="5"/>
  <c r="D408" i="5"/>
  <c r="D409" i="5"/>
  <c r="D410" i="5"/>
  <c r="D411" i="5"/>
  <c r="D412" i="5"/>
  <c r="D413" i="5"/>
  <c r="D414" i="5"/>
  <c r="D415" i="5"/>
  <c r="D416" i="5"/>
  <c r="D417" i="5"/>
  <c r="D418" i="5"/>
  <c r="D419" i="5"/>
  <c r="D420" i="5"/>
  <c r="D421" i="5"/>
  <c r="D422" i="5"/>
  <c r="D423" i="5"/>
  <c r="D424" i="5"/>
  <c r="D425" i="5"/>
  <c r="D426" i="5"/>
  <c r="D427" i="5"/>
  <c r="D428" i="5"/>
  <c r="D429" i="5"/>
  <c r="D430" i="5"/>
  <c r="D431" i="5"/>
  <c r="D432" i="5"/>
  <c r="D433" i="5"/>
  <c r="D434" i="5"/>
  <c r="D435" i="5"/>
  <c r="D436" i="5"/>
  <c r="D437" i="5"/>
  <c r="D438" i="5"/>
  <c r="D439" i="5"/>
  <c r="D440" i="5"/>
  <c r="D441" i="5"/>
  <c r="D442" i="5"/>
  <c r="D443" i="5"/>
  <c r="D444" i="5"/>
  <c r="D445" i="5"/>
  <c r="D446" i="5"/>
  <c r="D447" i="5"/>
  <c r="D448" i="5"/>
  <c r="D449" i="5"/>
  <c r="D450" i="5"/>
  <c r="D451" i="5"/>
  <c r="D452" i="5"/>
  <c r="D453" i="5"/>
  <c r="D454" i="5"/>
  <c r="D455" i="5"/>
  <c r="D456" i="5"/>
  <c r="D457" i="5"/>
  <c r="D458" i="5"/>
  <c r="D459" i="5"/>
  <c r="D460" i="5"/>
  <c r="D461" i="5"/>
  <c r="D462" i="5"/>
  <c r="D463" i="5"/>
  <c r="D464" i="5"/>
  <c r="D465" i="5"/>
  <c r="D466" i="5"/>
  <c r="D467" i="5"/>
  <c r="D468" i="5"/>
  <c r="D469" i="5"/>
  <c r="D470" i="5"/>
  <c r="D471" i="5"/>
  <c r="D472" i="5"/>
  <c r="D473" i="5"/>
  <c r="D474" i="5"/>
  <c r="M65" i="5" l="1"/>
  <c r="M29" i="5"/>
</calcChain>
</file>

<file path=xl/sharedStrings.xml><?xml version="1.0" encoding="utf-8"?>
<sst xmlns="http://schemas.openxmlformats.org/spreadsheetml/2006/main" count="3396" uniqueCount="734">
  <si>
    <t>PLANTILLA OFICIAL – RENDICIÓN DE CUENTAS (CAPTURA DE AVANCES 2024–2025)</t>
  </si>
  <si>
    <t>Objetivo</t>
  </si>
  <si>
    <t>Qué diligenciar</t>
  </si>
  <si>
    <t>ÚNICAMENTE la hoja 'REGISTRO_AVANCES'. No modificar estructuras, listas ni la hoja 'PLAN_DESARROLLO'.</t>
  </si>
  <si>
    <t>Reglas</t>
  </si>
  <si>
    <t>1) Un registro = una meta (ID_META) en un año.
2) Seleccione ID_META desde la lista (NO escribir a mano).
3) Adjunte evidencia: indique tipo y nombre de archivo/ruta.
4) Los porcentajes y cálculos se llenan automáticamente.
5) Si un campo no aplica, deje en blanco y explique en Observaciones.</t>
  </si>
  <si>
    <t>Campos obligatorios mínimos</t>
  </si>
  <si>
    <t>Año, Secretaría, ID_META, Avance ejecutado (si aplica), Presupuesto ejecutado (si aplica), Estado, Evidencia (tipo + archivo/ruta), Responsable.</t>
  </si>
  <si>
    <t>Fecha de corte</t>
  </si>
  <si>
    <t>Definir por la Alcaldía (ej.: 31/12/2025).</t>
  </si>
  <si>
    <t>ID_META</t>
  </si>
  <si>
    <t>BPIM</t>
  </si>
  <si>
    <t>EJE</t>
  </si>
  <si>
    <t>SECTOR</t>
  </si>
  <si>
    <t>META_PRODUCTO</t>
  </si>
  <si>
    <t>META_CUATRIENIO</t>
  </si>
  <si>
    <t>OBS_PLAN</t>
  </si>
  <si>
    <t>META-001</t>
  </si>
  <si>
    <t>2024257770003</t>
  </si>
  <si>
    <t>POR EL SUPATÁ SOÑADO AVANZAMOS JUNTOS EN LA LÍNEA ESTRATÉGICA SOCIAL</t>
  </si>
  <si>
    <t>EDUCACION</t>
  </si>
  <si>
    <t xml:space="preserve">Garantizar el 100% de transporte escolar de estudiantes que su institución educativa más cercana supere los 3 kilómetros de distancia desde la vivienda. </t>
  </si>
  <si>
    <t>META-002</t>
  </si>
  <si>
    <t>Garantizar la gratuidad en la educación en el 100% de las Instituciones y sedes Educativas del municipio.</t>
  </si>
  <si>
    <t>META-003</t>
  </si>
  <si>
    <t>Mantener la cobertura al 100% y fortalecer el servicio de los estudiantes con el servicio de alimentación escolar</t>
  </si>
  <si>
    <t>META-004</t>
  </si>
  <si>
    <t xml:space="preserve">Fortalecer una estrategia extra curricular en fomento del idioma ingles </t>
  </si>
  <si>
    <t>META-005</t>
  </si>
  <si>
    <t>2024257770004</t>
  </si>
  <si>
    <t>Realizar 1 dotación de menaje en restaurante escolar de las diferentes sedes de las instituciones Nuestra Señora de la Salud  y el Imparal.)</t>
  </si>
  <si>
    <t>META-006</t>
  </si>
  <si>
    <t xml:space="preserve">Mejoramiento y/o mantenimiento en infraestructura de las instituciones educativas y sus sedes. </t>
  </si>
  <si>
    <t>META-007</t>
  </si>
  <si>
    <t>2024257770005</t>
  </si>
  <si>
    <t xml:space="preserve">Construir 1 Alianza con SENA o instituciones de Educación Superior para oferta educativa </t>
  </si>
  <si>
    <t>META-008</t>
  </si>
  <si>
    <t>Realizar un (1) convenio anual con el Servicio Nacional de Aprendizaje –SENA-, para la implementación del Programa de Jóvenes Rurales (SENA Emprende Rural)</t>
  </si>
  <si>
    <t>META-009</t>
  </si>
  <si>
    <t>Desarrollo de programa de mejoramiento de la calidad educativa PROMCE en minimo dos de sus componentes</t>
  </si>
  <si>
    <t>META-010</t>
  </si>
  <si>
    <t>2024257770006</t>
  </si>
  <si>
    <t>SALUD</t>
  </si>
  <si>
    <t>Aumentar al 90% la población beneficiada con la Estrategia de APS Municipal</t>
  </si>
  <si>
    <t>META-011</t>
  </si>
  <si>
    <t xml:space="preserve">Implementar un plan de  acción de Participación Social en Salud  del Departamento  </t>
  </si>
  <si>
    <t>META-012</t>
  </si>
  <si>
    <t>Gestionar la realizacion de jornadas de salud en la zona rural del municipio para el fortalecimiento de la atencion en el Nivel Primario, aplicacion de tamizajes y acciones de informacion, que incidan en el mantenimiento de la salud y la deteccion oportuna del riego de enfermedades en la poblacion.</t>
  </si>
  <si>
    <t>META-013</t>
  </si>
  <si>
    <t>Aumentar en un 80% las actividades de educación y canalización del riesgo de enfermedades visuales, bucales y auditividas, a través de la aplicación de instrumentos de APS en las visitas de detección del riesgo en el ámbito familiar; garantizando la atención de la población en el marco de la ruta de promoción y mantenimiento de la salud.</t>
  </si>
  <si>
    <t>META-014</t>
  </si>
  <si>
    <t>Incrementar en un 10% la identificación de personas con riesgo de enfermedad cardiovascular, crónica, nutricional y no transmisibles, a fin  de aumentar la cobertura y atención oportuna.</t>
  </si>
  <si>
    <t>META-015</t>
  </si>
  <si>
    <t>Construcción de 1 política pública en salud mental.</t>
  </si>
  <si>
    <t>META-016</t>
  </si>
  <si>
    <t>Generar planes de prevencion para reducir la incidencia de violencia basadas en genero y hechos de violencia intrafamiliar; asi como el consumo y la oferta de sustancias psicoactivas - SPA, en el marco de la promocion de la salud mental.</t>
  </si>
  <si>
    <t>META-017</t>
  </si>
  <si>
    <t>Mantener la mortalidad evitable en cero para poblacion infantil y las maternas del municipio de Supata, a traves del seguimiento al 100% de menores de 5 años y gestantes con alto riesgo por malnutricion y otras condiciones.</t>
  </si>
  <si>
    <t>META-018</t>
  </si>
  <si>
    <t>Adoptar en un 90% la Política Pública Departamental de Seguridad Alimentaria y Nutricional</t>
  </si>
  <si>
    <t>META-019</t>
  </si>
  <si>
    <t xml:space="preserve">Promover que el  95% de las mujeres gestantes del municipio tengan  4 o más controles prenatales, en el marco de la Ruta de Atención Integral Materno Perinatal </t>
  </si>
  <si>
    <t>META-020</t>
  </si>
  <si>
    <t>Implementar y adoptar al 100% la ruta de atencion integral para victimas de violencias de genero.</t>
  </si>
  <si>
    <t>META-021</t>
  </si>
  <si>
    <t xml:space="preserve">Alcanzar  al 80%  de las familias con estrategias de prevención y cuidado adecuado de enfermedades transmitidas por vía aérea o de contacto directo (IRA, TUBERCULOSIS; HANSEN, COVID 19) desde un enfoque comunitario. </t>
  </si>
  <si>
    <t>META-022</t>
  </si>
  <si>
    <t xml:space="preserve">realizar 4 Jornadas anuales de vacunación extramurales que nos permitan llegar a toda la población del territorio y así aumentar cobertura de vacunación. </t>
  </si>
  <si>
    <t>META-023</t>
  </si>
  <si>
    <t xml:space="preserve">Generar estrategias para la promoción de los Estilos, modos y condiciones saludables en el entorno laboral </t>
  </si>
  <si>
    <t>META-024</t>
  </si>
  <si>
    <t xml:space="preserve">Implementar en un 100% la estrategia AIEPI, para el desarrollo integral de los niños y niñas del municipio. </t>
  </si>
  <si>
    <t>META-025</t>
  </si>
  <si>
    <t>Adoptar y  adaptar en un 100%  la política pública desdelas acciones  SALUD e envejecimiento y vejez  departamental conforme a los lineamientos y desarrollos técnicos definidos por el Ministerio de Salud y Protección Social.</t>
  </si>
  <si>
    <t>META-026</t>
  </si>
  <si>
    <t xml:space="preserve">Implementar las acciones correspondientes a la garantia de acceso salud descritas en la  Política Pública Municipal de Discapacidad  de los territorios rurales,  rurales dispersos y urbanos del municipio </t>
  </si>
  <si>
    <t>META-027</t>
  </si>
  <si>
    <t>Garantizar el desarrollo en un  100% de los  Sistemas de  información y vigilancia epidemiológica del municipio.</t>
  </si>
  <si>
    <t>META-028</t>
  </si>
  <si>
    <t>Fortalecer el programa de seguridad de riesgos laborales y salud en el trabajo</t>
  </si>
  <si>
    <t>META-029</t>
  </si>
  <si>
    <t>2024257770007</t>
  </si>
  <si>
    <t>Gestionar un centro de atención primario en salud rural</t>
  </si>
  <si>
    <t>META-030</t>
  </si>
  <si>
    <t>Garantizar la operatividad de los programas en salud</t>
  </si>
  <si>
    <t>META-031</t>
  </si>
  <si>
    <t>Garantizar el acceso a la salud para población vinculada al régimen  Subsidiado</t>
  </si>
  <si>
    <t>META-032</t>
  </si>
  <si>
    <t>202500000008110</t>
  </si>
  <si>
    <t xml:space="preserve">Garantizar  el seguimiento al 100% de las EPS e IPS Presentes en el municipio, para la garantía de la calidad de los servicios de salud </t>
  </si>
  <si>
    <t>META-033</t>
  </si>
  <si>
    <t>2024257770009</t>
  </si>
  <si>
    <t>CULTURA</t>
  </si>
  <si>
    <t>Mantener las 3 escuelas de formacion cultural durante el cuatrenio</t>
  </si>
  <si>
    <t>META-034</t>
  </si>
  <si>
    <t>Realizar (4) Dotaciones a las escuelas de formación cultural</t>
  </si>
  <si>
    <t>META-035</t>
  </si>
  <si>
    <t>Organizar 4 eventos artísticos y culturales anualmente</t>
  </si>
  <si>
    <t>META-036</t>
  </si>
  <si>
    <t>Realizar apoyo y/o Dotación en la ludoteca municipal en materiales lúdico-pedagógicos.</t>
  </si>
  <si>
    <t>META-037</t>
  </si>
  <si>
    <t>Realizar mantenimientos y/o adecuaciones de los escenarios culturales del municipio.</t>
  </si>
  <si>
    <t>META-038</t>
  </si>
  <si>
    <t>Garantizar el correcto funcionamiento anual de la biblioteca municipal</t>
  </si>
  <si>
    <t>META-039</t>
  </si>
  <si>
    <t xml:space="preserve">Reconocimiento y dignificación de los gestores culturales y artistas locales. 
</t>
  </si>
  <si>
    <t>META-040</t>
  </si>
  <si>
    <t>2024257770010</t>
  </si>
  <si>
    <t>RECREACION Y DEPROTE</t>
  </si>
  <si>
    <t>Mantener las 4 escuelas de formacion deportiva y recreativa  en el municipio</t>
  </si>
  <si>
    <t>META-041</t>
  </si>
  <si>
    <t>Implementar  una (1) escuela de formación deportiva en la zona rural.</t>
  </si>
  <si>
    <t>META-042</t>
  </si>
  <si>
    <t>Mejorar y mantener  3 escenarios recreo-deportivos  del municipio, durante el periodo de gobierno.</t>
  </si>
  <si>
    <t>META-043</t>
  </si>
  <si>
    <t>Realizar 7 eventos deportivos y/o recreativos en el municipio</t>
  </si>
  <si>
    <t>META-044</t>
  </si>
  <si>
    <t>Servicio de organización de eventos recreativos comunitarios</t>
  </si>
  <si>
    <t>META-045</t>
  </si>
  <si>
    <t>Realizar dotacion de implementos deportivos para la formacion deportiva y recreativa</t>
  </si>
  <si>
    <t>META-046</t>
  </si>
  <si>
    <t>Realizar 2 estudios y diseños para infraestructura deportiva y recreativa en el municipio</t>
  </si>
  <si>
    <t>META-047</t>
  </si>
  <si>
    <t>2024257770011</t>
  </si>
  <si>
    <t>POBLACIÓN VULNERABLE - VCA</t>
  </si>
  <si>
    <t xml:space="preserve">Realizar anualmente los tramites pertinentes para ayuda humanitaria </t>
  </si>
  <si>
    <t>META-048</t>
  </si>
  <si>
    <t xml:space="preserve">Garantizar 4 mesas  tecnicas municipales de participacion de victimas </t>
  </si>
  <si>
    <t>META-049</t>
  </si>
  <si>
    <t xml:space="preserve">Orotgar 1 Auxilios funerarios a población víctima </t>
  </si>
  <si>
    <t>META-050</t>
  </si>
  <si>
    <t>Elaborar la politica publica de victimas local ($0)</t>
  </si>
  <si>
    <t>META-051</t>
  </si>
  <si>
    <t xml:space="preserve">Realizar 4 proyectos productivos para la generación de ingresos victima del conflicto armado </t>
  </si>
  <si>
    <t>META-052</t>
  </si>
  <si>
    <t>Realizar 2 jornadas de caracterizacion municipal de victimas $0</t>
  </si>
  <si>
    <t>META-053</t>
  </si>
  <si>
    <t xml:space="preserve">Conmemoracion del dia nacional de la memoria y la solidaridad con las victimas </t>
  </si>
  <si>
    <t>META-054</t>
  </si>
  <si>
    <t>2024257770012</t>
  </si>
  <si>
    <t>POBLACIÓN VULNERABLE - CAPITULO PRIMERA INFANCIA, INFANCIA, ADOLESCENCIA Y JUVENTUD</t>
  </si>
  <si>
    <t>Realizar cuatro (4) campañas de educación sexual y derechos reproductivos a los adolescentes y jovenes del municipio</t>
  </si>
  <si>
    <t>META-055</t>
  </si>
  <si>
    <t>Realizar cuatro (4) campañas de prevencion de embarazado en mujeres adolescentes</t>
  </si>
  <si>
    <t>META-056</t>
  </si>
  <si>
    <t>META-057</t>
  </si>
  <si>
    <t>Realizar cuatro (4) talleres en reconocimiento de los derechos de niños, niñas y adolescentes</t>
  </si>
  <si>
    <t>META-058</t>
  </si>
  <si>
    <t>Realizar cuatro (4) campañas para la proteccioón y prevención del maltrato infantil</t>
  </si>
  <si>
    <t>META-059</t>
  </si>
  <si>
    <t>Realizar dotacion en material pedagógico para los programas de atención de primera infancia</t>
  </si>
  <si>
    <t>META-060</t>
  </si>
  <si>
    <t>Realizar cuatro (4) campañas para el fortalecimiento familiar en el municipio</t>
  </si>
  <si>
    <t>META-061</t>
  </si>
  <si>
    <t>Realizar las acciones necesarias para el aumento de 1 unidad o cupos en la atención del programa “Educación Rural Dispersa”. (VERIFICAR SI ES META DE PRIMERA INFANCIA)</t>
  </si>
  <si>
    <t>META-062</t>
  </si>
  <si>
    <t>Realizar campañas anuales para la prevención de la conducta suicida, en niños, niñas, adolescentes y jovenes</t>
  </si>
  <si>
    <t>META-063</t>
  </si>
  <si>
    <t>Mantener a 100 niños de 0 a 5 años en establecimientos de educación inicial</t>
  </si>
  <si>
    <t>META-064</t>
  </si>
  <si>
    <t>Implementar un programa de apoyo integral a la juventud</t>
  </si>
  <si>
    <t>META-065</t>
  </si>
  <si>
    <t>2024257770013</t>
  </si>
  <si>
    <t>POBLACIÓN VULNERABLE- CAPITULO MUJER Y GENERO</t>
  </si>
  <si>
    <t>Construcción de (1)  centro de innovación empresarial casa social de la mujer.</t>
  </si>
  <si>
    <t>META-066</t>
  </si>
  <si>
    <t>Realizar anualmente mecanismos para la articulacion, actualización, reactivación y seguimiento de las actividades del Consejo Consultivo de Mujeres, como instancia de representación de sus necesidades e interés</t>
  </si>
  <si>
    <t>META-067</t>
  </si>
  <si>
    <t>2024257770014</t>
  </si>
  <si>
    <t>POBLACIÓN VULNERABLE - CAPITULO ADULTO MAYOR</t>
  </si>
  <si>
    <t>Mentener el Programa Centro Día Urbano y rural para el beneficio</t>
  </si>
  <si>
    <t>META-068</t>
  </si>
  <si>
    <t>Garantizar la atención integral e institucional de adultos mayores con vulnerabilidad social en el centro de bienestar del adulto mayor "Maria Auxiliadora".</t>
  </si>
  <si>
    <t>META-069</t>
  </si>
  <si>
    <t>Implementar anualmente la estrategia Rehabilitacion basada en comunidad RBC con la población Adulto Mayor</t>
  </si>
  <si>
    <t>META-070</t>
  </si>
  <si>
    <t>Realizar 1 Dotación Centro día.</t>
  </si>
  <si>
    <t>META-071</t>
  </si>
  <si>
    <t>Realizar 4 jornadas de certificación para acceso a subsidios de discapacidad.</t>
  </si>
  <si>
    <t>META-072</t>
  </si>
  <si>
    <t xml:space="preserve">Mantener anualmente  atencion en el Centro de Vida Sensorial </t>
  </si>
  <si>
    <t>META-073</t>
  </si>
  <si>
    <t>Celebrar anualmente el día Blanco</t>
  </si>
  <si>
    <t>META-074</t>
  </si>
  <si>
    <t>Implementar anualmente la estrategia Rehabilitacion basada en comunidad RBC con la población con discapacidad</t>
  </si>
  <si>
    <t>META-075</t>
  </si>
  <si>
    <t>Realizar 1 Actualizacion de la politica publica de discapacidad</t>
  </si>
  <si>
    <t>META-076</t>
  </si>
  <si>
    <t>2024257770015</t>
  </si>
  <si>
    <t>VIVIENDA, CIUDAD Y TERRITORIO-  POBLACIÓN EN CONDICIÓN DE DISCAPACIDAD</t>
  </si>
  <si>
    <t>Implementar un proyecto para la construcción de vivienda de interés social o de intéres prioritario.</t>
  </si>
  <si>
    <t>META-077</t>
  </si>
  <si>
    <t>Brindar anualmente un (1) apoyo juridico a la población para otorgar titulación de predios.</t>
  </si>
  <si>
    <t>META-078</t>
  </si>
  <si>
    <t>Beneficiar a 50 familias en condición de vulnerabilidad con el mejoramiento de unidad habitacional, pisos, cocina, baños y techos del sector rural</t>
  </si>
  <si>
    <t>META-079</t>
  </si>
  <si>
    <t>2024257770016</t>
  </si>
  <si>
    <t>VIVIENDA, CIUDAD Y TERRITORIO</t>
  </si>
  <si>
    <t>Fortalecer  administrativa y logística anualmente el Consejo Territorial de Planeación para su funcionamiento. (pendiente fortalecimiento institucional cambio de sector)</t>
  </si>
  <si>
    <t>META-080</t>
  </si>
  <si>
    <t>Adecuación y mantenimiento de la plaza de ferias municipal</t>
  </si>
  <si>
    <t>META-081</t>
  </si>
  <si>
    <t>Realizar 2 mantenimientos a la plaza de mercado</t>
  </si>
  <si>
    <t>META-082</t>
  </si>
  <si>
    <t>Implementar  el programa anual  de Banco de Materiales que une esfuerzos entre la administración municipal y la comunidad para la realización de obras necesarias y de gran impacto social en barrios y veredas.</t>
  </si>
  <si>
    <t>META-083</t>
  </si>
  <si>
    <t>Implementar  un programa  de mantenimiento de espacio público,  zonas verdes y  parques del municipio</t>
  </si>
  <si>
    <t>META-084</t>
  </si>
  <si>
    <t>Construir, mejorar y adecuar los andenes, pasamanos y escaleras en diversos sectores del casco urbano y centros poblados del municipio.</t>
  </si>
  <si>
    <t>META-085</t>
  </si>
  <si>
    <t>Estudios y diseños para la construcción de la casa de gobierno</t>
  </si>
  <si>
    <t>META-086</t>
  </si>
  <si>
    <t>2024257770017</t>
  </si>
  <si>
    <t>A.P.S.B</t>
  </si>
  <si>
    <t xml:space="preserve">Realizar 1 optimizacion a la  planta de tratamiento de agua potable </t>
  </si>
  <si>
    <t>META-087</t>
  </si>
  <si>
    <t>Otorgar  anualmente subsidios a los usuarios de los servicios de acueducto, de los estratos 1, 2 y 3 del área urbana,en el cuatrienio</t>
  </si>
  <si>
    <t>META-088</t>
  </si>
  <si>
    <t xml:space="preserve">Realizar optimizaciones a los acueductos veredales </t>
  </si>
  <si>
    <t>META-089</t>
  </si>
  <si>
    <t>Realizar la construcción de 200 metros lineales de red de acueducto en el municipio</t>
  </si>
  <si>
    <t>META-090</t>
  </si>
  <si>
    <t>Transferir anualmente al Plan Departamental de Aguas            -PDA- los recursos comprometidos a través de Acuerdo Municipal en el cuatrienio.</t>
  </si>
  <si>
    <t>META-091</t>
  </si>
  <si>
    <t>Realizar anulmente doce (12)  analisis de calidad del agua de acuerdo a la resolucion 2115 de 2007</t>
  </si>
  <si>
    <t>META-092</t>
  </si>
  <si>
    <t>elaborar el programa de Uso Eficiente y Ahorro del Agua (PUEAA) en el municipio durante el cuatrienio</t>
  </si>
  <si>
    <t>META-093</t>
  </si>
  <si>
    <t xml:space="preserve">Acompañamiento para la legalizacion de acueductos veredales con requisitos minimos </t>
  </si>
  <si>
    <t>META-094</t>
  </si>
  <si>
    <t xml:space="preserve">implementacion de un programa de micromedicion en el area urbana </t>
  </si>
  <si>
    <t>META-095</t>
  </si>
  <si>
    <t>Realizar anulmente el fortalecimiento para el reporte de la informacion de las entidades de control</t>
  </si>
  <si>
    <t>META-096</t>
  </si>
  <si>
    <t xml:space="preserve">Actualizar el Plan de Saneamiento y Manejo de Vertimientos (PSMV) </t>
  </si>
  <si>
    <t>META-097</t>
  </si>
  <si>
    <t>gestionar la ejecución el Plan Maestro de Acueducto y Alcantarillado</t>
  </si>
  <si>
    <t>META-098</t>
  </si>
  <si>
    <t>Otorgar  anualmente subsidios a los usuarios del servicio de alcantarillado de los estratos 1, 2 y 3 del área urbana,en el cuatrienio</t>
  </si>
  <si>
    <t>META-099</t>
  </si>
  <si>
    <t>Mejoramiento de la planta de tratamiento de aguas residuales -PTAR- del Municipio</t>
  </si>
  <si>
    <t>META-100</t>
  </si>
  <si>
    <t xml:space="preserve">Realizar mejoramiento al alcantarillado sanitario y pluvial </t>
  </si>
  <si>
    <t>META-101</t>
  </si>
  <si>
    <t>Implementar el Plan de gestión integral de residuos sólidos (PGIRS) del municipio en el marco de la Resolución No. 754 de 2014 , la Política Nacional para la Gestión Integral de Residuos Sólidos – CONPES 3874 de 2016, y la Resolución 2184 de 2019, en el cuatrenio</t>
  </si>
  <si>
    <t>META-102</t>
  </si>
  <si>
    <t>Otorgar  anualmente subsidios a los usuarios del servicio de  aseo  de los estratos 1, 2 y 3 del área urbana,en el cuatrienio</t>
  </si>
  <si>
    <t>META-103</t>
  </si>
  <si>
    <t>202500000008261</t>
  </si>
  <si>
    <t>POR EL SUPATÁ SOÑADO AVANZAMOS JUNTOS EN LA LÍNEA ESTRATÉGICA ECONÓMICA</t>
  </si>
  <si>
    <t>TECNOLOGIAS DE LA INFORMACIÓN Y LAS COMUNICACIONES</t>
  </si>
  <si>
    <t>Mantener anualmente una persona calificada para Implementar la estrategia de Gobierno Digital</t>
  </si>
  <si>
    <t>META-104</t>
  </si>
  <si>
    <t xml:space="preserve">Realizar 2 dotaciones de software, dotación tecnológica, sonido para eventos   y equipos de altavoz </t>
  </si>
  <si>
    <t>META-105</t>
  </si>
  <si>
    <t>Realizar anualmente 4 actualizaciones a la página web del municipio con el objetivo de cumplir anualmente con el informe ITA de la Procuraduría General de la Nación</t>
  </si>
  <si>
    <t>META-106</t>
  </si>
  <si>
    <t>202500000008863</t>
  </si>
  <si>
    <t>Realizar anualmente la Implementación de trámites y servicios en línea</t>
  </si>
  <si>
    <t>META-107</t>
  </si>
  <si>
    <t>Realizar 4 capacitaciones sobre la importancia de Gobierno Digital y  de las TICS</t>
  </si>
  <si>
    <t>META-108</t>
  </si>
  <si>
    <t>2024257770020</t>
  </si>
  <si>
    <t>TURISMO</t>
  </si>
  <si>
    <t>Realizar la construccion de 1 mirador turistico</t>
  </si>
  <si>
    <t>META-109</t>
  </si>
  <si>
    <t>Elaborar el plan turistico del municipio</t>
  </si>
  <si>
    <t>META-110</t>
  </si>
  <si>
    <t>Realizar 4 capacitaciones a los operadores sobre servicios turisticos</t>
  </si>
  <si>
    <t>META-111</t>
  </si>
  <si>
    <t>Brindar anualmente apoyo a iniciativas de proyectos turísticos</t>
  </si>
  <si>
    <t>META-112</t>
  </si>
  <si>
    <t>Realizar eventos turísticas para que se admire la  riqueza ecoturista y agroturista</t>
  </si>
  <si>
    <t>META-113</t>
  </si>
  <si>
    <t>Realizar anualmente alianzas turisticas con entidades de orden nacional, departamental y de cooperacion internacional</t>
  </si>
  <si>
    <t>META-114</t>
  </si>
  <si>
    <t xml:space="preserve">Implementar una campaña de estrategia para la promoción del turismo religioso </t>
  </si>
  <si>
    <t>META-115</t>
  </si>
  <si>
    <t>gestionar proyectos para buscar apoyo en  mantenimiento, mejorameinto o construccion a zonas naturales de uso turístico</t>
  </si>
  <si>
    <t>META-116</t>
  </si>
  <si>
    <t>Apoyar anualmente la asociatividad productiva y comercial en el municipio</t>
  </si>
  <si>
    <t>META-117</t>
  </si>
  <si>
    <t>2024257770021</t>
  </si>
  <si>
    <t>TRANSPORTE</t>
  </si>
  <si>
    <t>Realizar mantenimiento rutinario de 50 Km de vías rurales del municipio (cuneteando, conformando, afirmado y compactado, según la necesidad) en el cuatrienio</t>
  </si>
  <si>
    <t>META-118</t>
  </si>
  <si>
    <t>Realizar el mejoramiento, adecuación de vías en la zona rural a través de la construcción de 1.000 ML de placa huellas en concreto o pavimentación, en el cuatrienio</t>
  </si>
  <si>
    <t>META-119</t>
  </si>
  <si>
    <t>Construir  10 obras de arte para el mantenimiento y mejoramiento de la red terciaria del municipio, durante el cuatrienio</t>
  </si>
  <si>
    <t>META-120</t>
  </si>
  <si>
    <t xml:space="preserve">Adquirir maquinaria amarilla </t>
  </si>
  <si>
    <t>META-121</t>
  </si>
  <si>
    <t>Realizar 3 mantenimientos a la maquinaria amarilla propiedad del municipio</t>
  </si>
  <si>
    <t>META-122</t>
  </si>
  <si>
    <t>Realizar la apertura de 2 km de vías terciarias dentro del municipio</t>
  </si>
  <si>
    <t>META-123</t>
  </si>
  <si>
    <t>Realizar el mantenimiento,  rehabilitación  y adecuación  de 100 ML de vías en la zona urbana del municipio, en el periodo de gobierno</t>
  </si>
  <si>
    <t>META-124</t>
  </si>
  <si>
    <t>Mejoramiento y mantenimiento 2 puentes vehiculares,  en la zona rural o urbana del municipio</t>
  </si>
  <si>
    <t>META-125</t>
  </si>
  <si>
    <t>Hacer mantenimiento y/o adecuación  a  4 caminos reales  durante el cuatrienio.</t>
  </si>
  <si>
    <t>META-126</t>
  </si>
  <si>
    <t xml:space="preserve">Realizar 300 metros lineales de señalizacion de vías terciarias y urbanas del municipio. </t>
  </si>
  <si>
    <t>META-127</t>
  </si>
  <si>
    <t>Realizar  4 capacitaciones sobre seguridad vial a los actores viales del municipio</t>
  </si>
  <si>
    <t>META-128</t>
  </si>
  <si>
    <t>2024257770023</t>
  </si>
  <si>
    <t>AGROPECUARIO</t>
  </si>
  <si>
    <t>Apoyo   (2) proyectos productivos que me garanticen el uso eficiente en ganaderia y uso del suelo.</t>
  </si>
  <si>
    <t>META-129</t>
  </si>
  <si>
    <t>Realizar 400 visitas  técnicas solicitada a los sistemas de producción agricolas</t>
  </si>
  <si>
    <t>META-130</t>
  </si>
  <si>
    <t>Implementar 80 huertas y huertos  caseras</t>
  </si>
  <si>
    <t>META-131</t>
  </si>
  <si>
    <t>Apoyo a  20  pequeños productores cafeteros del municipio para aumentar las áreas de siembra, mejorar la capacidad productiva y competitividad, en el cuatrenio</t>
  </si>
  <si>
    <t>META-132</t>
  </si>
  <si>
    <t>Fortalecer  el Programa de Mercados Campesinos para aumentar la comercializacion de los productos agropecuarios</t>
  </si>
  <si>
    <t>META-133</t>
  </si>
  <si>
    <t>Apoyar a 20 usuarios en la implementacion de sistemas de producción pecuaria con especies menores.</t>
  </si>
  <si>
    <t>META-134</t>
  </si>
  <si>
    <t>Fortalecer anualmente las asociasiones de productores legalmente constituidas</t>
  </si>
  <si>
    <t>META-135</t>
  </si>
  <si>
    <t>2024257770024</t>
  </si>
  <si>
    <t>Capacitar a 100 personas  que elaboren en fincas ganaderas en normatividad ICA</t>
  </si>
  <si>
    <t>META-136</t>
  </si>
  <si>
    <t>202500000009592</t>
  </si>
  <si>
    <t>Organizar (4) ferias agropecuarias</t>
  </si>
  <si>
    <t>META-137</t>
  </si>
  <si>
    <t>202500000008911</t>
  </si>
  <si>
    <t xml:space="preserve">Realizar 500 procedimientos de esterilización canina y felina con el fin de hacer control de población canina y felina </t>
  </si>
  <si>
    <t>META-138</t>
  </si>
  <si>
    <t>202500000009564</t>
  </si>
  <si>
    <t>Crear el plan agropecuario municipal</t>
  </si>
  <si>
    <t>META-139</t>
  </si>
  <si>
    <t>202500000008931</t>
  </si>
  <si>
    <t xml:space="preserve">Realizar 500 chequeos reproductivos  en ganado bovino de los diferentes productores del municipio </t>
  </si>
  <si>
    <t>META-140</t>
  </si>
  <si>
    <t>Reforzar 5 parcelas de cultivos tradicionales, implementando los pincipios basicos de conservación</t>
  </si>
  <si>
    <t>META-141</t>
  </si>
  <si>
    <t>Realizar 400 inseminaciones artificiales en ganado bovino de los diferentes productores</t>
  </si>
  <si>
    <t>META-142</t>
  </si>
  <si>
    <t>Mantener el (1) proyecto de mejoramiento genético</t>
  </si>
  <si>
    <t>META-143</t>
  </si>
  <si>
    <t>2024257770029</t>
  </si>
  <si>
    <t>Ajustar los estudios y diseños del distrito de riego para solicitar financiacion en una entidad nacional</t>
  </si>
  <si>
    <t>META-144</t>
  </si>
  <si>
    <t xml:space="preserve">gestionar los estudios y diseños de un centro de acopio para productos agropecuarios. </t>
  </si>
  <si>
    <t>META-145</t>
  </si>
  <si>
    <t>2024257770030</t>
  </si>
  <si>
    <t>POR EL SUPATÁ SOÑADO AVANZAMOS JUNTOS EN LA LÍNEA ESTRATÉGICA INSTITUCIONAL</t>
  </si>
  <si>
    <t>FORTALECIMIENTO INSTITUCIONAL</t>
  </si>
  <si>
    <t>Apoyo Jurídico y operativo para el proceso de cobro coactivo y la actualización del estatuto tributario Municipal.</t>
  </si>
  <si>
    <t>META-146</t>
  </si>
  <si>
    <t>Modernización Tecnológica y administrativa para la Gestión Financiera y Fiscal del Municipio de Supatá Cundinamarca</t>
  </si>
  <si>
    <t>META-147</t>
  </si>
  <si>
    <t>Implementar un  programa  anual para el Fortalecimiento Institucional</t>
  </si>
  <si>
    <t>META-148</t>
  </si>
  <si>
    <t>Realizar un mantenimiento anual de los bienes inmuebles  de propiedad del municipio en el cuatrienio.</t>
  </si>
  <si>
    <t>META-149</t>
  </si>
  <si>
    <t>Realizar construcción de la infraestructura de la Casa de Gobierno del municipio</t>
  </si>
  <si>
    <t>META-150</t>
  </si>
  <si>
    <t>Implementar y ejecutar un Programa anual del Sistema General de Seguridad y Salud en el trabajo en el cuatrienio</t>
  </si>
  <si>
    <t>META-151</t>
  </si>
  <si>
    <t>Realizar anualmente  la contratacion de personal especializado, profesional, tecnico y asistencial en la prestacion de servicios y  apoyo de la gestion en las dependencias de la administracion municipal</t>
  </si>
  <si>
    <t>META-152</t>
  </si>
  <si>
    <t>Implementar un Plan Anual de Bienestar  e Incentivos para los funcionarios de la administración municipal</t>
  </si>
  <si>
    <t>META-153</t>
  </si>
  <si>
    <t>Organizar los archivos de gestión y fondos acumulados de la Administración Municipal  de acuerdo a las  normas vigentes relacionada con los archivos, durante el cuatrienio</t>
  </si>
  <si>
    <t>META-154</t>
  </si>
  <si>
    <t>2024257770031</t>
  </si>
  <si>
    <t>Realizar (8) reuniones del CMGRD para el establecimiento de mecanismos alerta y reacción ante situaciones de riesgo.</t>
  </si>
  <si>
    <t>META-155</t>
  </si>
  <si>
    <t>Realizar un convenio con el cuerpo de bomberos</t>
  </si>
  <si>
    <t>META-156</t>
  </si>
  <si>
    <t>Realizar  obras  de mitigación del Riesgo</t>
  </si>
  <si>
    <t>META-157</t>
  </si>
  <si>
    <t>Realizar anualmente (1) asistencia tecnica de apoyo a los grupos de socorro</t>
  </si>
  <si>
    <t>META-158</t>
  </si>
  <si>
    <t>Actualizar el plan de gestión del riesgo de desastres y estrategia para la respuesta a emergencias</t>
  </si>
  <si>
    <t>META-159</t>
  </si>
  <si>
    <t>Capacitar a 20 lideres comunitarios en tema de atención y prevención de Gestión del Riesgo</t>
  </si>
  <si>
    <t>META-160</t>
  </si>
  <si>
    <t>Realizar (4) simulacros de evacuación</t>
  </si>
  <si>
    <t>META-161</t>
  </si>
  <si>
    <t>Implementar un programa anual  para la  ayuda humanitaria y la atención de la población afectada por desastres y emergencias sanitarias</t>
  </si>
  <si>
    <t>META-162</t>
  </si>
  <si>
    <t>Realizar ( 4) capacitaciones del comité Local de Atención y Prevención de Desastres en atención y prevención del riesgo</t>
  </si>
  <si>
    <t>META-163</t>
  </si>
  <si>
    <t>2024257770032</t>
  </si>
  <si>
    <t>DESARROLLO COMUNITARIO</t>
  </si>
  <si>
    <t xml:space="preserve">Efectuar 04 actividades encaminadas a reactivar y fortalecer los espacios de participación. </t>
  </si>
  <si>
    <t>META-164</t>
  </si>
  <si>
    <t>Realizar 04 capacitaciones para fortalecer las juntas de acción comunal.</t>
  </si>
  <si>
    <t>META-165</t>
  </si>
  <si>
    <t>Realizar 4 rendiciones de cuentas sobre la gestión de la administración municipal.</t>
  </si>
  <si>
    <t>META-166</t>
  </si>
  <si>
    <t>Promover 1 veeduría ciudadana como espacio garante de control social.</t>
  </si>
  <si>
    <t>META-167</t>
  </si>
  <si>
    <t>2024257770033</t>
  </si>
  <si>
    <t>Actualizar el plan integral de convivencia ciudadana</t>
  </si>
  <si>
    <t>META-168</t>
  </si>
  <si>
    <t>Realizar (4) actividades que involucren temas de seguridad y colaboración.</t>
  </si>
  <si>
    <t>META-169</t>
  </si>
  <si>
    <t>Realizar 4 asistencias tecnicas sobre prevención a violaciones de derechos humanos</t>
  </si>
  <si>
    <t>META-170</t>
  </si>
  <si>
    <t>202500000008932</t>
  </si>
  <si>
    <t>TRABAJO</t>
  </si>
  <si>
    <t>Realizar 4 eventos sobre gestion de emprendimientos</t>
  </si>
  <si>
    <t>META-171</t>
  </si>
  <si>
    <t>2024257770035</t>
  </si>
  <si>
    <t>JUSTICIA Y SEGURIDAD CIUDADANA</t>
  </si>
  <si>
    <t>fortalecer el grupo interdisciplinario de la comisaria de familia para Garantizar, proteger, restablecer y reparar los derechos de los miembros de la familia sgp libre destinacion 135millones + 15 m pro justicia familiar estampilla todos los años</t>
  </si>
  <si>
    <t>META-172</t>
  </si>
  <si>
    <t>Apoyar anualmente a la inspeccion de policia  90Millones SPG libre destinación todos los años auumentar 5% al año</t>
  </si>
  <si>
    <t>META-173</t>
  </si>
  <si>
    <t xml:space="preserve">Realizar (1) acción para la implementación de herramientas tecnologicas de seguridad  CAMARAS DE VIGILANCIA </t>
  </si>
  <si>
    <t>META-174</t>
  </si>
  <si>
    <t>Realizar 24 Consejos de Seguridad</t>
  </si>
  <si>
    <t>META-175</t>
  </si>
  <si>
    <t>2024257770036</t>
  </si>
  <si>
    <t>Realizar cuatro (4) campañas para la prevención en material penal</t>
  </si>
  <si>
    <t>META-176</t>
  </si>
  <si>
    <t>202500000008965</t>
  </si>
  <si>
    <t>Garantizar anualmente el suministro de alimentación a las personas privadas de la libertad</t>
  </si>
  <si>
    <t>META-177</t>
  </si>
  <si>
    <t>Fortalecer anualmente el funcionamiento de las fuerzas publicas con los recursos del fonde de seguridad</t>
  </si>
  <si>
    <t>META-178</t>
  </si>
  <si>
    <t>Realizar (1) convenio anual con el Inpec de conformidad con los lineamientos establecidos de la ley 10 millones sgp libre inversion</t>
  </si>
  <si>
    <t>META-179</t>
  </si>
  <si>
    <t>2024257770038</t>
  </si>
  <si>
    <t>POR EL SUPATÁ SOÑADO AVANZAMOS JUNTOS EN LA LÍNEA ESTRATÉGICA AMBIENTAL</t>
  </si>
  <si>
    <t>SERVICIOS DIFERENTES APSB</t>
  </si>
  <si>
    <t>Realizar la ampliación del sistema de alumbrado publico</t>
  </si>
  <si>
    <t>META-180</t>
  </si>
  <si>
    <t>Garantizar el optimo funcionamiento del sistema de alummbrado público</t>
  </si>
  <si>
    <t>META-181</t>
  </si>
  <si>
    <t>Realizar anualmente los pagos de servicio de alumbrado público</t>
  </si>
  <si>
    <t>META-182</t>
  </si>
  <si>
    <t>Realizar un (1) estudio tecnico del servicio de Alumbrado Público</t>
  </si>
  <si>
    <t>META-183</t>
  </si>
  <si>
    <t>gestionar la implementación de energías alternativas</t>
  </si>
  <si>
    <t>META-184</t>
  </si>
  <si>
    <t>2024257770039</t>
  </si>
  <si>
    <t>Ampliar beneficiarios del servicio de gas</t>
  </si>
  <si>
    <t>META-185</t>
  </si>
  <si>
    <t>202500000008969</t>
  </si>
  <si>
    <t>AMBIENTE</t>
  </si>
  <si>
    <t>Adelantar acciones para la implementación del plan de adaptación al cambio climático</t>
  </si>
  <si>
    <t>META-186</t>
  </si>
  <si>
    <t>Realizar 4 campañas que aporten a la disminución de contaminantes por residuos solidos.</t>
  </si>
  <si>
    <t>META-187</t>
  </si>
  <si>
    <t>Realizar el calculo de la huella de carbono del palacio municipal</t>
  </si>
  <si>
    <t>META-188</t>
  </si>
  <si>
    <t>202500000009590</t>
  </si>
  <si>
    <t>Adoptar el 50% de las metas de la política de educación ambiental propuesta por las Corporaciones autónomas regionales en cada territorio</t>
  </si>
  <si>
    <t>META-189</t>
  </si>
  <si>
    <t>Implementar 4 capacitaciones y/o talleres con estrategias hacia la educación ambiental y sensibilización hacia el cuidado de los recursos hidricos</t>
  </si>
  <si>
    <t>META-190</t>
  </si>
  <si>
    <t>202500000009587</t>
  </si>
  <si>
    <t xml:space="preserve">Implementar la política pública de bienestar animal </t>
  </si>
  <si>
    <t>META-191</t>
  </si>
  <si>
    <t>Realizar (4) jornadas de reforestación y cultura ambiental</t>
  </si>
  <si>
    <t>META-192</t>
  </si>
  <si>
    <t>Incentivar el pago por servicios ambientales</t>
  </si>
  <si>
    <t>META-193</t>
  </si>
  <si>
    <t>Reactivar la junta defensora de animales</t>
  </si>
  <si>
    <t>META-194</t>
  </si>
  <si>
    <t>Realizar 4 campañas de prevención de la deforestació, el manejo forestal, seguimiento de reforestación y el aprovechamiento sostenible de los recursos naturales hídricos y forestales.</t>
  </si>
  <si>
    <t>META-195</t>
  </si>
  <si>
    <t>2024257770043</t>
  </si>
  <si>
    <t>Adquirir (1) predio de importancia hídrica</t>
  </si>
  <si>
    <t>META-196</t>
  </si>
  <si>
    <t>Adaptar un (1) espacio ecologico en las instituciones educativas para reducir las emisiones de GEI en el municipio.</t>
  </si>
  <si>
    <t>META-197</t>
  </si>
  <si>
    <t>Elaborar un (1) Plan de Uso Eficiente y Ahorro del Agua – PUEAA</t>
  </si>
  <si>
    <t>META-198</t>
  </si>
  <si>
    <t>202500000009063</t>
  </si>
  <si>
    <t>apoyar la implementación anual de los proyectos ambientales escolares PRAES</t>
  </si>
  <si>
    <t>COD_SECRETARIA</t>
  </si>
  <si>
    <t>SECRETARIA</t>
  </si>
  <si>
    <t>SG</t>
  </si>
  <si>
    <t>Secretaría General y de Gobierno</t>
  </si>
  <si>
    <t>SP</t>
  </si>
  <si>
    <t>Secretaría de Planeación y Obras Públicas</t>
  </si>
  <si>
    <t>SD</t>
  </si>
  <si>
    <t>Secretaría de Desarrollo Social y Comunitario</t>
  </si>
  <si>
    <t>SR</t>
  </si>
  <si>
    <t>Secretaría de Desarrollo Rural, Medio Ambiente y Competitividad</t>
  </si>
  <si>
    <t>SH</t>
  </si>
  <si>
    <t>Secretaría de Hacienda</t>
  </si>
  <si>
    <t>AÑOS</t>
  </si>
  <si>
    <t>ESTADOS</t>
  </si>
  <si>
    <t>FUENTE_FINANCIACION</t>
  </si>
  <si>
    <t>TIPO_EVIDENCIA</t>
  </si>
  <si>
    <t>2024</t>
  </si>
  <si>
    <t>No iniciada</t>
  </si>
  <si>
    <t>Recursos Propios</t>
  </si>
  <si>
    <t>Contrato</t>
  </si>
  <si>
    <t>2025</t>
  </si>
  <si>
    <t>En ejecución</t>
  </si>
  <si>
    <t>SGP</t>
  </si>
  <si>
    <t>Acta</t>
  </si>
  <si>
    <t>Cumplida</t>
  </si>
  <si>
    <t>Regalías</t>
  </si>
  <si>
    <t>Informe</t>
  </si>
  <si>
    <t>ICCU</t>
  </si>
  <si>
    <t>Foto</t>
  </si>
  <si>
    <t>CAR</t>
  </si>
  <si>
    <t>Certificado</t>
  </si>
  <si>
    <t>Gobernación</t>
  </si>
  <si>
    <t>Registro/Soporte</t>
  </si>
  <si>
    <t>Nación/Ministerios</t>
  </si>
  <si>
    <t>Otro</t>
  </si>
  <si>
    <t>Cooperación</t>
  </si>
  <si>
    <t>Mixta</t>
  </si>
  <si>
    <t>AÑO</t>
  </si>
  <si>
    <t>META_PROGRAMADA_AÑO</t>
  </si>
  <si>
    <t>AVANCE_EJECUTADO_AÑO</t>
  </si>
  <si>
    <t>%_AVANCE_FISICO</t>
  </si>
  <si>
    <t>PRESUPUESTO_ASIGNADO</t>
  </si>
  <si>
    <t>PRESUPUESTO_EJECUTADO</t>
  </si>
  <si>
    <t>%_EJEC_FINANCIERA</t>
  </si>
  <si>
    <t>PROYECTO_ASOCIADO</t>
  </si>
  <si>
    <t>ESTADO</t>
  </si>
  <si>
    <t>EVIDENCIA_ARCHIVO_O_RUTA</t>
  </si>
  <si>
    <t>OBSERVACIONES</t>
  </si>
  <si>
    <t>FECHA_REGISTRO</t>
  </si>
  <si>
    <t>RESPONSABLE</t>
  </si>
  <si>
    <t>Consolidar avances físicos, financieros y evidencias por meta del Plan de Desarrollo. Esta plantilla alimenta el informe y la plataforma de rendición.</t>
  </si>
  <si>
    <t xml:space="preserve">contrato de combustible, mantenimiento de la maquinaria, pago de los operarios, e incentivo a las juntas de accion comunal por medio de convenios solidarios </t>
  </si>
  <si>
    <t>convenios interadministrativos, con la gobernacion de cundinamarca</t>
  </si>
  <si>
    <t xml:space="preserve">arreglos y mantenimiento a la alcantarillas y arreglo de pasos rurales en conjunto con las juntas de accion comunal </t>
  </si>
  <si>
    <t xml:space="preserve">convenios solidarios con las juntas de accion comunal </t>
  </si>
  <si>
    <t>en proceso de estudios y diseños</t>
  </si>
  <si>
    <t>estudios y diseños realizados</t>
  </si>
  <si>
    <t xml:space="preserve">se envia a los miembros del comité informacion sobre capacitaciones </t>
  </si>
  <si>
    <t>estudios y diseños avalados por regalias y en proceso de cadjudicación</t>
  </si>
  <si>
    <t>en proceso de estudios</t>
  </si>
  <si>
    <t>se contrato el proceso de banco de materiales</t>
  </si>
  <si>
    <t>se contrato el proceso de banco de materiales y elementos de ferreteria</t>
  </si>
  <si>
    <t>se realizan mantenimientos, pero tambien la contratacion del personal para el cuidado y preservacion de estos espacios</t>
  </si>
  <si>
    <t>se viene relizando el estudio para la adecuacion de estos espacios</t>
  </si>
  <si>
    <t xml:space="preserve">se realizaron los estudios y diseños para la adecuacion de estos espacios y se esta en proceso de asignacion </t>
  </si>
  <si>
    <t xml:space="preserve">se vienen adelantando las gestiones para adquirir esta maquinaria amarilla </t>
  </si>
  <si>
    <t>convenio interadministrativo entre el municipio de supata y la gobernacion de cundinamarca</t>
  </si>
  <si>
    <t>mentenimiento rutinarios a la maquinaria del municipio</t>
  </si>
  <si>
    <t xml:space="preserve">se realizan ajustes y mejoramientos a pasos abandonados </t>
  </si>
  <si>
    <t>convenio interadministrativo entre la gobernacion de cundinamarca y el municipio de supata</t>
  </si>
  <si>
    <t>se vienen adelantando las gestiones para cumplir con el objetivo</t>
  </si>
  <si>
    <t xml:space="preserve">se vienen adelantando gestiones para la adecuacion de los puentes </t>
  </si>
  <si>
    <t>se vienen adelantando gestiones para el cumplimiento de la meta</t>
  </si>
  <si>
    <t xml:space="preserve">en proceso de verificacion </t>
  </si>
  <si>
    <t xml:space="preserve">al crear el banco de materiales, se puede contar con disponibilidad para adecuacion de los espacios institucionales </t>
  </si>
  <si>
    <t>arreglos locativos a sedes institucionales</t>
  </si>
  <si>
    <t xml:space="preserve">se estan adelantando los estudios y diseños </t>
  </si>
  <si>
    <t xml:space="preserve">en proceso de adjudicacion luego de ser aprobados los estudios y diseños, en convenio entre la gobernacion de cundinamarca y los fondos por regalias </t>
  </si>
  <si>
    <t xml:space="preserve">se realiza al menos 1 vez al mes un comité de gestion del riesgo </t>
  </si>
  <si>
    <t xml:space="preserve">se realiza convenio con el cuerpo de bomberos de san francisco </t>
  </si>
  <si>
    <t>en conjunto con el convenio del cuerpo de bomberos de san francisoc se brindan capacitaciones</t>
  </si>
  <si>
    <t xml:space="preserve">esta en proceso de verificacion </t>
  </si>
  <si>
    <t xml:space="preserve">se realizan y verifican condiciones </t>
  </si>
  <si>
    <t xml:space="preserve">se estan realizando gestiones para brindar apoyo y establecer el programa de ayuda </t>
  </si>
  <si>
    <t>en espacios oficiales, y reuniones con las veredas y las juntas de accion comunal se informa, y adelanta gestiones realizadas por la administracion municipal</t>
  </si>
  <si>
    <t>Contrato de Obra Pública No. 004-2025 Adecuación y mejoramiento de la planta de tratamiento de agua potable del Municipio de  Supatá Cundinamarca</t>
  </si>
  <si>
    <t>SGP - APSB</t>
  </si>
  <si>
    <t>Certificación</t>
  </si>
  <si>
    <t>Pago de subsidios del servicio de Alcantarillado</t>
  </si>
  <si>
    <t xml:space="preserve">Pago de subsidios del servicio de Acueducto </t>
  </si>
  <si>
    <t>Pago de subsidios del servicio de Aseo</t>
  </si>
  <si>
    <t>Contrato de Prestacion de Servicios No. CPS-093-2024 Cuyo objeto fue realizar las muestras y análisis de calidad de agua suministrada por el acueducto urbano, garantizando así un suministro de agua apta para consumo humano</t>
  </si>
  <si>
    <t>Contrato de Prestacion de Servicios No. CPS-135-2024 con el cual se elaboró el Plan de Uso Eficiente y Ahorro del Agua – PUEAA para el acueducto urbano</t>
  </si>
  <si>
    <t xml:space="preserve">Contrato de Prestacion de Servicios No. CPS-091-2024 Cuyo objeto fue Servicios profesionales deasesoria para el fortalecimiento en el reporte de la informacion orientada al cumplimiento de la regulacion y normatividad vigente en materia de agua potable y saneamiento basico de la oficina de servicios publicos del Municipio de Supatá </t>
  </si>
  <si>
    <t>Contrato de Prestacion de Servicios No. CPS-045-2025. Prestar los servicios profesionales de asesoria para el fortalecimiento en el reporte de información orientado al cumplimiento de la regulación y normatividad vigente en materia de agua potable y saneamiento basico de la oficina de servicios publicos del Municipio de Supatá Cundinamarca, conforme a los lineamientos establecidos en el plan de desarrollo municipal</t>
  </si>
  <si>
    <t>Contrato de Prestacion de Servicios No. CPS-079-2025 Prestacion de servicios para la toma y analisis de agua potable en el sistema de acueducto urbano del municipio de supata cundinamarca.</t>
  </si>
  <si>
    <t>Acta de aceptacion de oferta proceso de selección MC 032-2024 Contrato de Compra No. COM-010-2024 Compra de equipos de micromedicion de agua potable en el marco de la implementacion de un programa de micromedicion en el acuedcuto urbano del Municipio de Supatá Cundinamarca.</t>
  </si>
  <si>
    <t>Convenio de Asociacion No EPC-PDA-CAS-024 y EPC-PDA-CAS-021 entre Empresas Publicas de Cundinamarca - EPC y las asociaciones de acueudcto de Cabrera y el Acueducto Regional de las veredas Santa Rosa, Providencia, Cristales y Mesitas, para el fortalecimiento institucional, comercial, técnico y financiero.</t>
  </si>
  <si>
    <t xml:space="preserve">SGP - APSB PDA </t>
  </si>
  <si>
    <t xml:space="preserve">Se realizo acompañamiento al Acueducto la Cabrera y Acueducto Regional de las veredas Santa Rosa, Providencia, Cristales y Mesitas, permitiendoles así participar en la convocatoria de Agua a la Vereda de EPC saliendo beneficiados de este programa </t>
  </si>
  <si>
    <t xml:space="preserve">Se realizo acompañamiento al Acueducto de Monte Dulce permitiendole participar en la convocatoria de Agua a la Vereda de EPC saliendo beneficiado de este programa </t>
  </si>
  <si>
    <t xml:space="preserve">Actualización del PSMV Urbano y del Centro Poblado la Magola, a taves de Empresas Publicas de Cundinamarca - EPC  </t>
  </si>
  <si>
    <t xml:space="preserve">Convenio de Asociacion No 002-2024 Entre el Municipio de Supatá y la Fundacion Ecoarcoiris para la implementacion del Plan de Gestion integral de Residuos Solidos - PGIRS </t>
  </si>
  <si>
    <t>Apoyo de la Secretaria de Bienestar Verde del Departamento a la Asociacion de Recicladores con Dotacion y la entrega de una Prensa para material reciclable.</t>
  </si>
  <si>
    <t>COP-001-2025 Optimizacion y mejoramiento alcantarillado Carrea 7 entre Calles 2 y perimetro urbano, COP-002-2025 Optimizacion y mejoramiento alcantarillado de la Carrera 5 entre Calles 4 y 5</t>
  </si>
  <si>
    <t>Transferencia del 60% del toral de los recursos de APSB al PDA vigencia 2024</t>
  </si>
  <si>
    <t>Transferencia del 60% del toral de los recursos de APSB al PDA vigencia 2025</t>
  </si>
  <si>
    <t xml:space="preserve">Se presento el proyecto de construccion del Plan Maestro de Acueducto y Alcantarillado Etapa Planta de Tratamiento de Agua Potable PTAP del area urbana a ventanilla Nacional para la consecucion de Recursos. </t>
  </si>
  <si>
    <t xml:space="preserve">Ministerio de Vivienda Ciudad y Territorio </t>
  </si>
  <si>
    <t>Pago por servicio de energia consumida en el servicio de alumbrado publico vigencia 2024</t>
  </si>
  <si>
    <t>Pago por servicio de energia consumida en el servicio de alumbrado publico vigencia 2025</t>
  </si>
  <si>
    <t>Ampliacion del sistema de alumbrado publico en el escenario depotivo cancha de futbol Contrato de Compra No. COM-003-2025</t>
  </si>
  <si>
    <t>Compra de materiales electricos y prestacion de servicios del tecnico electricists para el mantenimiento del sistema de alumbrado público.</t>
  </si>
  <si>
    <t>Se presento la intencion de proyecto para la  implementacion de energias renovables a traves de la generacion de energia solar ante el Viceministerio de Energía.</t>
  </si>
  <si>
    <t xml:space="preserve">Ministerio de Minas y Energía </t>
  </si>
  <si>
    <t xml:space="preserve">Se realizo solicitud a la Gobernacion de Cundinamarca para la ampliacion del servicio de Gas Natural en el Municipio </t>
  </si>
  <si>
    <t xml:space="preserve">SGP </t>
  </si>
  <si>
    <t>El objetivo de construir un mirador turístico en Supatá, contemplado en el Plan de Desarrollo Municipal, aún no se ha materializado. Actualmente, nos encontramos en la fase de planificación y gestión de recursos necesarios para su ejecución.</t>
  </si>
  <si>
    <t xml:space="preserve">Esta actividad, está contemplada dentro del plan de desarrollo turístico que se encuentra en fase de solicitud de recursos, habiendo enviado ya la ficha técnica a FONTUR. La obtención de estos recursos será esencial para financiar las visitas y la recopilación de información sobre los lugares y eventos significativos del municipio. 
</t>
  </si>
  <si>
    <t>FUNDACION ORANGE, CONTRIBUYENDO AL LOGRO DE LOS OBJETIVOS DE DESARROLLO SOSTENIBLE CON  UN CONTRATO DE  PRESTACION DE SERVICIOS PARA LA REALIZACION DE ACTIVIDADES EN LA CONSTRUCCION DEL PLAN DE DESARROLLO TURISTICO DE SUPATA 2025 2035TURISTICO</t>
  </si>
  <si>
    <t xml:space="preserve">Se realizaron capacitaciones dirigidas a operadores turísticos en alianza con el SENA y las Cámaras de Comercio de Facatativá y Bogotá. Los temas abordados incluyeron Registro Nacional de Turismo (RNT), manipulación de alimentos y barismo, fortaleciendo sus competencias para mejorar la oferta turística en Supatá.
</t>
  </si>
  <si>
    <t xml:space="preserve">Se brindó apoyo a diversas iniciativas de proyectos turísticos, destacando la participación en el evento de turismo "Cluster" en Nocaima y en la presentación de la Ruta Dulce Nacional. Además, se promovieron talleres y charlas orientadas al fortalecimiento del sector turístico, lideradas por el Viceministerio de Turismo y FONTUR, impulsando el desarrollo turístico en Supatá. 
</t>
  </si>
  <si>
    <t xml:space="preserve">Se brindó apoyo a diversas iniciativas de proyectos turísticos, destacando la participación en el evento de turismo como carrera atletica , Además, se promovieron talleres y charlas orientadas al fortalecimiento del sector turístico, lideradas por el Viceministerio de Turismo y FONTUR, impulsando el desarrollo turístico en Supatá. 
</t>
  </si>
  <si>
    <t>SE RALIZO LOS PRIMEROS VIERNES DE CADA MES LOS MERCADOS GANADEROS, LA FERIA MABIENTAL, EL CUMPLEAÑOS DEL MUNICIPIO Y EL FESTIVAL DE LA RANA DORADA.</t>
  </si>
  <si>
    <t xml:space="preserve">Se presentó ante FONTUR la propuesta del Plan de Desarrollo Turístico (PDT) de Supatá, una alianza estratégica que permitirá gestionar recursos financieros, fortalecer capacidades locales y promocionar al municipio como un destino destacado, impulsando su desarrollo económico y turístico. 
</t>
  </si>
  <si>
    <t xml:space="preserve">Supatá, en preparación para el Jubileo 2024, promueve el turismo religioso con actividades como la eucaristía del 24 de diciembre en honor a la Virgen de la Salud, destacando su fe y cultura, y posicionándose como un destino clave para peregrinos.
</t>
  </si>
  <si>
    <t xml:space="preserve">el dia 4 de octubre se promovio el jubilio en el municipio y el turismo religioso con actividades como la eucaristía del 24 de diciembre en honor a la Virgen de la Salud, destacando su fe y cultura, y posicionándose como un destino clave para peregrinos.
</t>
  </si>
  <si>
    <t>Se incluyó en el PDT de Supatá la caracterización del contexto actual del municipio. Esta actividad evalúa aspectos como infraestructura turística, estado de vías, servicios básicos y acceso a atractivos, con el fin de identificar necesidades y fortalecer el turismo sostenible en la región.</t>
  </si>
  <si>
    <t xml:space="preserve">Se ha apoyado la asociatividad productiva y comercial del municipio mediante la difusión publicitaria de emprendimientos locales, destacando su oferta en eventos turísticos y ferias. Estas acciones buscan fortalecer la visibilidad de los productos y servicios de Supatá, fomentando el desarrollo económico y la integración de los actores locales en el sector turístico. 
</t>
  </si>
  <si>
    <t>SE REALIZO UNA CAPACITACION A LOS BENEFISIARIOS DEL PROYECTO CON UNA PARCELA DEMOSTRATIVA Y POSTERIOMENTE ENTREGA DE LOS INSUMOS PARA IMPLEMENTAR LAS RENOVACINES A 20 USUARIOS</t>
  </si>
  <si>
    <t xml:space="preserve">VISITAS REALIZADAS POR EL PERSONAL CONTRATADO PARA DICHA LABOR </t>
  </si>
  <si>
    <t>ADQUISICION DE INSUMOS PARA LA ELBORACION DE LAS HUERTAS CASERAS Y HUERTOS.</t>
  </si>
  <si>
    <t xml:space="preserve">huertas urbanas con entornos sostenibles convenino con la CAR, implementacion de huertas escolares y entrega de semillas para huerta caseras. </t>
  </si>
  <si>
    <t xml:space="preserve"> entrega de fertilizante en renovacion y nueva siembra., entrega 11000 plantulas de borbon rosado</t>
  </si>
  <si>
    <t xml:space="preserve">convenio tripartito para entrega de fertilizante en renovacion y nueva siembra., entrega 11000 plantulas de borbon rosado y entrega de fertilizante a la asociacion de cafeteros del municipio de supata </t>
  </si>
  <si>
    <t>Todos los domingos se cuenta con un espacio acondicionado, para que los pequeños y medianos productores puedan ofertar los prodectos agropecuarios, dicho espacio se instala en el parque central del municipio.</t>
  </si>
  <si>
    <t>Todos los domingos se cuenta con un espacio acondicionado, para que los pequeños y medianos productores puedan ofertar los prodectos agropecuarios, dicho espacio se instala en el parque central del municipio y intercambio de insumos pecuarios con el municioio de cogua.</t>
  </si>
  <si>
    <t xml:space="preserve"> se estimuló la tecnificación y adecuación de las explotaciones pecuarias de especies menores apoyando al productor con insumos, fuentes alternativas  de alimento, acompañamiento y extensión rural, se busca diversificar las explotaciones y potencializar estos pequeños productores </t>
  </si>
  <si>
    <t xml:space="preserve">Acompañamiento  a las diferentes asociaciones del municipio en busca de fortalecer la economía y actividad, se llevó a cabo la reactivación de grupos asociados que se habían olvidado de la razón de ser, se impulsaron los demás grupos  con capacitaciones articulados con el SENA  </t>
  </si>
  <si>
    <t xml:space="preserve">desde el convenio que se tiene con el instituto agropecuario (ICA) en direcion de  la secretaria se viene adelantando acompañamientos, capacitaciones y asesorias a los ausuarios pecuarios del municipio </t>
  </si>
  <si>
    <t>En el mes de junio  se realizó la feria agropecuaria compuesta por cabalgata de inauguración, mercado ganadero  de mitad de año donde se acopiaron más de 250 animales en el recinto ferial y se premió a los pequeños productores mediante diversos juegos y dinámicas que implican la actividad pecuaria en el dia a dia  </t>
  </si>
  <si>
    <t>En el mes de junio  se realizó la feria agropecuaria compuesta por cabalgata de inauguración, mercado ganadero  de mitad de año donde se acopiaron más de 270 animales en el recinto ferial y se premió a los pequeños productores mediante diversos juegos y dinámicas que implican la actividad pecuaria en el dia a dia  </t>
  </si>
  <si>
    <t xml:space="preserve">se realizaron  esterilizaciones de animales  domésticos pasando por las diferentes veredas (18 y centro poblado la magola, realizando una jornada de esterilización semanal durante todo el año </t>
  </si>
  <si>
    <t>re realizaron mes a mes procedimientos de esterilizacion de pequeñas especies incluyendo hembras y machos (felinos y caninos)</t>
  </si>
  <si>
    <t>se vienen desarrollando actividades de chequeos reproductivo en la especia bovina, donde se dan diagnosticos tempranos de gestacion, tratamientos de animales en estado de anestro y asistencia de distocias en las diferentes veredas del municipio.</t>
  </si>
  <si>
    <t xml:space="preserve">renovacion de praderas con principios basicos de conservacion con la implementacion de pastos mejorados en la pradera y se incentiva la inclusion del arbol en las explotaciones. </t>
  </si>
  <si>
    <t>renovacion de praderas con principios basicos de conservacion con la implementacion de pastos mejorados en la pradera y se incentiva la inclusion del arbol en las explotaciones., se iniciara un banco de forrajes con maiz, donde se busca realizar ensilaje para beneficiar 20 ganaderos buscando ser mas eficientes y sostenibles con el reurso suelo.</t>
  </si>
  <si>
    <t xml:space="preserve"> se vienen realizando  inseminaciones artificiales en el ganado bovino  de las diferentes veredas del municipio, atendiendo el llamado de la comunidad donde se busca hacer mejoramiento genético y mejorando la eficiencia productiva y  reproductiva de la zona </t>
  </si>
  <si>
    <t xml:space="preserve">se mantiene el programa de inseminacion artificial con un execelente banco de semen he insumos requeridos para la realizacion de este procedimiento  y personal capacitado para dicha labor </t>
  </si>
  <si>
    <t>se realizo EL PRIMER DÍA DEL DESAFÍO SUPATÁ, una actividad que nos permite unirnos como comunidad en pro de mejorar la imagen de nuestro municipio.</t>
  </si>
  <si>
    <t>se viene adelantando acciones con  la comunidad en general en realizar una correcta disposición de sus residuos sólidos, y mantener en condiciones de aseo los escenarios y espacios públicos, como un compromiso de todos</t>
  </si>
  <si>
    <t>Se vienen realizando anualmente el cálculo de huella de carbono y compensación.</t>
  </si>
  <si>
    <t>se viene adelantado los programas de PRAES, PUEAA, CIDEA establecidos por la corporacion autonoma regional  de cundinamarca</t>
  </si>
  <si>
    <t>Realización de la Feria Ambiental y de Emprendimiento de Supatá donde se  busca enseñar a niños, niñas y a toda la comunidad sobre la conservación y cuidado de nuestro entorno natural, algo fundamental dado el entorno privilegiado de Supatá.   </t>
  </si>
  <si>
    <t>Estas acciones incluyeron jornadas de sensibilización dirigidas a la comunidad sobre la importancia de conservar los bosques y cuerpos de agua, la promoción de buenas prácticas forestales y la participación en proyectos de restauración ecológica con la entrega de árboles nativos y frutales. Asimismo, se llevaron a cabo monitoreos periódicos que incluían la verificación de árboles en riesgo y se fortalecieron alianzas con entidades ambientales para garantizar un uso responsable y sostenible de los recursos naturales por medio de las solicitudes de aprovechamiento forestal. Además, se desarrollaron actividades complementarias como ferias ambientales, conversatorios y talleres educativos, que contribuyeron a consolidar una cultura de respeto y cuidado por el entorno en el municipio.</t>
  </si>
  <si>
    <t>Proceso de compra de material vegetal.</t>
  </si>
  <si>
    <t xml:space="preserve">Estas acciones incluyeron jornadas de sensibilización dirigidas a la comunidad sobre la importancia de conservar los bosques y cuerpos de agua, la promoción de buenas prácticas forestales y la participación en proyectos de restauración ecológica con la entrega de arboles nativos y frutales. Asimismo, se llevaron a cabo monitoreos periódicos que incluían la verificación de arboles en riesgo y se fortalecieron alianzas con entidades ambientales para garantizar un uso responsable y sostenible de los recursos naturales por medio de las solicitudes de aprovechamiento forestal. Además, se desarrollaron actividades complementarias como ferias ambientales, conversatorios y talleres educativos, que contribuyeron a consolidar una cultura de respeto y cuidado por el entorno en el municipio.
</t>
  </si>
  <si>
    <t xml:space="preserve">e la institución educativa nuestra señora de la salud, se realizó apoyo en la elaboración de pacas biodigestoras con el objetivo de aprovechar los residuos orgánicos que se generan: buscando la Reducción de residuos: al Minimizar la cantidad de residuos orgánicos que se envían a los rellenos sanitarios, reduciendo la generación de gases de efecto invernadero y la contaminación del suelo y el agua y la Producción de biogás  (metano y dióxido de carbono) a partir de la descomposición de los residuos orgánicos, que puede ser utilizado como fuente de energía renovable.
</t>
  </si>
  <si>
    <t>el 25 de abril del 2025 se radico el plan del uso eficiente y ahorro del agua PUEAA acueducto urbanno del municio de supata ante la corporacion autonoma regional de cundinamarca CAR</t>
  </si>
  <si>
    <t>En el marco del PRAE de la institución educativa nuestra señora de la salud, se realizó apoyo en la elaboración de pacas biodigestoras con el objetivo de aprovechar los residuos orgánicos que se generan:.</t>
  </si>
  <si>
    <t xml:space="preserve"> se han promovido actividades de reciclaje y cuidado del entorno en el marco de la conmemoración del Día Mundial del Medio Ambiente. Estas acciones, realizadas en conjunto con estudiantes, docentes y la comunidad educativa, reflejan el compromiso institucional por fortalecer la educación ambiental y fomentar prácticas responsables en el manejo de residuos, contribuyendo al desarrollo sostenible y ecológico del municipio.</t>
  </si>
  <si>
    <t>ASIGNACION DE RUTAS PARA ESTUDIANTES DONDE SU INTITUCION MAS CERCANA SUPERE LOS 3 KILOMETROS DE DISTANCIA</t>
  </si>
  <si>
    <t>APORTE SEGÚN INDICADO POR EL DEPARTAMENTO</t>
  </si>
  <si>
    <t>COMPRA DE ELEMENTOS PARA DOTACION DE RESTAURANTES ESCOLARES DEL MUNICIPIO DE SUPATA CUNDINAMARCA, CONFORME A LO PLANTEADO EN LAS METAS DEL PLAN DE DESARROLLO 20242027 UNIDOS POR EL SUPATA QUE SOÑAMOS.</t>
  </si>
  <si>
    <t>OFERTA SENA_ BARISMO, CAFÉ, ARTESANIAS- BISUTERIA- MANUALIDADES CON MATERIAL RECICLABLE</t>
  </si>
  <si>
    <t>OFERTA SENA_ BARISMO, COCINA COLOMBIANA, COCINA NAVIDEÑA. MUÑECOS DE NAVIDAD</t>
  </si>
  <si>
    <t>ESTRATEGIA PROMCE POR GESTION - MUNICIPIO PRIORIZADO POR EL DEPARTAMENTO</t>
  </si>
  <si>
    <t>PIC - FUNCIONAMIENTO OFICINA</t>
  </si>
  <si>
    <t>SE DA POR GESTION EN LAS ACTIVIDADES DISPUESTAS A LOS PROFESIONALES TANTO DE CONTRATO CON HOSPITAL COMO OFICINA</t>
  </si>
  <si>
    <t>CONTRATACION DE FORMADORES PARA ESCUELAS DE FORMACION EN DANZA Y MUSICA.</t>
  </si>
  <si>
    <t>DOTACION DE INSTRUMENTOS MUSICALES PARA FORTALECIMIENTO DE BANDA SINFONICA Y CREACION BANDA MUSICOMARCIAL.</t>
  </si>
  <si>
    <t>FERIAS Y FIETSAS Y FIESTAS DE DICIEMBRE</t>
  </si>
  <si>
    <t>FERIAS Y FIESTAS Y FIESTAS DE DICIEMBRE</t>
  </si>
  <si>
    <t>CONTRATACION DE PERSONAL PARA LA ORIENTACION DEL SERVICIO DE LUDOTECA Y COMPRA DE ELEMENTOS</t>
  </si>
  <si>
    <t>CONTRATACION DE PERSONAL PARA LA ORIENTACION DEL SERVICIO DE LUDOTECA .</t>
  </si>
  <si>
    <t>CONTRATACION DE BIBLIOTECARIA MUNICIPAL</t>
  </si>
  <si>
    <t>CONTRATACION DE FORMADORES PARA ESCUELAS DE FORMACION DEPORTIVA EN EL MUNICIPIO DE SUPATA.</t>
  </si>
  <si>
    <t xml:space="preserve">CONTRATACION DE FORMADOR PARA ESCUELA DE FORMACION EN EL SECTOR RURAL. </t>
  </si>
  <si>
    <t>REALIZACION DE EVENTOS DEPORTIVOS EN LAS DISCIPLINAS DE FUTBOL, FUTBOL DE SALON. BALONCESTO Y VOLEIVOL Y EVENTOS RECREATIVOS, ESTRATEGIA BRUJULA Y SEMANA DULCE.</t>
  </si>
  <si>
    <t>REALIZACION DE EVENTOS DEPORTIVOS EN LAS DISCIPLINAS DE FUTBOL, FUTBOL DE SALON. BALONCESTO Y VOLEIVOL Y EVENTOS RECREATIVOS, ESTRATEGIA BRUJULA Y SEMANA DULCE. - SUMINISTRO DE REFRIGERIOS Y ALMUERZOS PARA EVENTOS.</t>
  </si>
  <si>
    <t>CELEBRACION DEL DIA DE LA MADRE - RUTA NAVIDEÑA</t>
  </si>
  <si>
    <t xml:space="preserve">DOTACION DE IMPLEMENTACION DEPORTIVA PARA ESCUELAS DE FORMACION. </t>
  </si>
  <si>
    <t>REALIZADAS POR PROFESIONALES DE PIC</t>
  </si>
  <si>
    <t>REALIZADAS POR COMISARIA DE FAMILIA</t>
  </si>
  <si>
    <t>DOTACION DE ELEMENTOS PEDAGOGICOS PARA PROGRAMAS DE PRIMERA INFANCIA</t>
  </si>
  <si>
    <t>GESTION - ICBF</t>
  </si>
  <si>
    <t>REALIZADAS POR PIC</t>
  </si>
  <si>
    <t>GESTION ICBF - MATRICULA</t>
  </si>
  <si>
    <t>INCENTIVO BACHILLERES - COMPRA DE ELEMENTOS PARA GRADUADOS DE LAS INSTITUCIONES EDUCATIVAS OFICIALES.</t>
  </si>
  <si>
    <t>GESTION - ARTICULACION CONSEJO CONSULTIVO - ADMINISTRACION MUNICIPAL</t>
  </si>
  <si>
    <t>PRESUPUESTO ASIGNADO A CONSEJO CONSULTIVO - SIN SOLICITUD DE EJECUCCION</t>
  </si>
  <si>
    <t>SUMINISTRO DE VIVERES PARA DESARROLLO DEL PROGRAMA - DESARROLLO DE ACTIVIDADES LUDICORECREATIVAS PARA GARANTIA DEL ENVEJECIMIENTO ACTIVO</t>
  </si>
  <si>
    <t>SUMINISTRO DE VIVERES PARA DESARROLLO DEL PROGRAMA - DESARROLLO DE ACTIVIDADES LUDICORECREATIVAS PARA GARANTIA DEL ENVEJECIMIENTO ACTIVO - SALIDAS DE INTEGRACION.</t>
  </si>
  <si>
    <t>CONTRATACION DE PERSONAL PARA ATENCION DE LOS ADULTOS MAYORES - SUMINISTRO DE VIVERES</t>
  </si>
  <si>
    <t>SE DA CON EL CUMPLIMIENTO Y GATRANTIA DE CONTINUIDAD DE LOS PROGRMASS</t>
  </si>
  <si>
    <t>VA DE LA MANO CON LAS METAS DE GARANTIA DE ATENCIÓN INTEGRAL. Y ELD ESARROLLO DE ACCIONE SY ACTIVIDADES EN EL MISMO AMBITO</t>
  </si>
  <si>
    <t>DOTACION DE ELEMENTOS PARA DESARROLLO DE LOS PROGRAMAS</t>
  </si>
  <si>
    <t>JORNADA DE CERTIFICACION DE DISCAPACIDAD - GESTION</t>
  </si>
  <si>
    <t>GESTION CON EL DEPARTAMENTO</t>
  </si>
  <si>
    <t>CONTRATACION DE FISIOTERAPEUTA PARA LA ATENCION A POBLACION CON DISCAPACIDAD</t>
  </si>
  <si>
    <t>CELBRACION - COMPRA DE ELEMENTOS Y SUMINISTRO</t>
  </si>
  <si>
    <t>SE DA CUMPLIMIENTO CON LA GARANTIA DE CONTINUIDAD DE LOS PROGRAMAS</t>
  </si>
  <si>
    <t>CPS No. 111-2024. PRESTAR LOS SERVICIOS PROFESIONALES COMO ABOGADO PARA LA ASESORIA JURIDICA EN LA CONTINUACIÓN E INICIO DE LOS PROCESOS DE COBRO COACTIVO ADMINISTRATIVO Y PERSUASIVO DEL IMPUESTO PREDIAL UNIFICADO Y LAS MULTAS, SANCIONES Y COMPARENDOS Y DEMAS QUE REQUIERA LA ENTIDAD CONFORME A LOS LINEAMIENTOS ESTABLECIDOS EN EL PLAN DE DESARROLLO MUNICIPAL 2024-2027 DE SUPATÁ CUNDINAMARCA.</t>
  </si>
  <si>
    <t>WENDY JOHANNA RAMOS BENAVIDES</t>
  </si>
  <si>
    <t>CPS-063-2025 PRESTAR LOS SERVICIOS PROFESIONALES COMO ABOGADO PARA LA ASESORIA JURIDICA EN LA CONTINUACION  E INICIO DE LOS PROCESOS DE COBRO COACTIVO ADMINISTRATIVO Y PERSUASIVO DEL IMPUESTO PREDIAL UNIFICADO Y LAS MULTAS, SANCIONES Y COMPARENDOS Y DEMAS QUE REQUIERA EL MUNICIPIO DE SUPATA VIGENCIA 2025.
CPS-089-2025 PRESTAR LOS SERVICIOS DE APOYO A LA GESTION PARA LA ENTREGA Y NOTIFICACION DE COBROS PERSUASIVOS, COACTIVOS DE LOSPROCESOS Q LLEVA  ACABO LA SECRETARIA DE HACIENDA Y GESTION FINANCIERA DEL MUNICIPIO DE SUPATA CUNDINAMARCA Y DEMAS NOTIFICACIONES Q SURGAN EN EL DESARROLLO DE LOSPROCESOS ADMINISTRATIVOS DE ESTA SECRETARIA.</t>
  </si>
  <si>
    <t>SE ADJUNTA INFORME DE LA RECUPERACION DE CARTERA DE LA VIGENCIA 2025. 
ESTA META SE FINANCIO CON DOS FUENTES DE FINANCIACION: RECURSOS PROPIOS Y SGP</t>
  </si>
  <si>
    <t>NO SE IMPLEMENTO ESTA META EN EL 2024</t>
  </si>
  <si>
    <t>CPS-086-2025 PRESTACION DE SERVICIOS PARA EL SUMINISTRO, CAPACITACION TEORICO PRACTICO, ACOMPAÑAMIENTO Y SOPORTE TECNICO PERMANENTE DEL MODULO DE NOMIN ADMINISTRATIVO DEL SISTEMA ADTIVO, FINANCIERO, TRIBUTARIO Y COMERCIAL HAS SQL PARA EL MEJORAMIENTO DE LOS PROCESOS ADMINISTRATIVOS DEL MUNICIPIO DE SUPATA CUNDINAMARCA.</t>
  </si>
  <si>
    <t>SE ADJUNTA INFORME DE LA IMPLEMENTACION DEL MODULO Y AVANCES.</t>
  </si>
  <si>
    <t>Se aprobaron los planes institucionales que propenden por el mejoramiento de algunos procesos de la entidad</t>
  </si>
  <si>
    <t>se suscribio contrato con profesional para la implementacion del sistema de seguridad y salud en el trabajo.</t>
  </si>
  <si>
    <t xml:space="preserve">Se suscribieron contratos de prestacion de servicios </t>
  </si>
  <si>
    <t>Se suscribe contrato de apoyo logistico para el desarrollo de actividad de bienestarl social</t>
  </si>
  <si>
    <t>Se suscribio contrato de prestacion de servicios de personal que apoyara la ortganizacion del archivo de acuerdo a la normativa vigente</t>
  </si>
  <si>
    <t>No se ha ejecutado la meta.</t>
  </si>
  <si>
    <t>Se realizo rendicion de cuentas en el mes de diciembre</t>
  </si>
  <si>
    <t>No esta progamada para esa vigencia</t>
  </si>
  <si>
    <t xml:space="preserve">se realizan actividades de seguridad y se establecen cronogramas para el desarrolllo de las mismas </t>
  </si>
  <si>
    <t>Se realizan capacitaciones a un segmento de la poblacion.</t>
  </si>
  <si>
    <t>Se realiza destinacion de los recursos de la estampilla familiar para el fortalecimeinto de la comisaria de familia</t>
  </si>
  <si>
    <t>Se realiza destinacion de los recursos para el fortalecimiento de la inspeccion de policia</t>
  </si>
  <si>
    <t>Se realizan consejos de seguridad ordinarios mes a mes.</t>
  </si>
  <si>
    <t xml:space="preserve">En articulacion con la policia nacional, inspeccion y comisaria de familia se trabaja ar                                                                                                                                                        ticuladamente </t>
  </si>
  <si>
    <t>Se suscribe contrato para el suminitsro de alimentacion de los PPL</t>
  </si>
  <si>
    <t xml:space="preserve">Se suscribe contrato para el suministro de combustible de la policia y para alimentacion de apoyo de la policia nacional </t>
  </si>
  <si>
    <t>Se suscribe convenio con el establecimiento carcelario y penitenciario de villeta</t>
  </si>
  <si>
    <t>Se gestionaron a traves de la Gobernacion de Cundinamarca</t>
  </si>
  <si>
    <t xml:space="preserve">Se apoya la realizacion de las mesas de paticipacion de victimas </t>
  </si>
  <si>
    <t xml:space="preserve">No fue requerido el auxilio funerario para esta vigencia </t>
  </si>
  <si>
    <t>Se encuentra en estructuracion</t>
  </si>
  <si>
    <t>Se entregaron proyectos a  10 nucleos familiares</t>
  </si>
  <si>
    <t>Se realiza velaton en conmemoracion de lasa victimas del conflicto armado</t>
  </si>
  <si>
    <t>Se suscribe contrato para el apoyo de actividades de gobierno digital</t>
  </si>
  <si>
    <t>Se gestionaron capacitaciones a traves del MINTIC dirigidas a contratistas y empleados de la entidad</t>
  </si>
  <si>
    <t>Se gestiona a traves de la secreatria de desarrollo social la entrega de complemento alimentario</t>
  </si>
  <si>
    <t>Se otorga auxilio funerario a victima de conflicto armado</t>
  </si>
  <si>
    <t>Se otorga proyecto productivo a 20 nucleos de familias victimas del conflicto armado</t>
  </si>
  <si>
    <t>Se realiza caracterizacion de 61 nucleos de familias residentes en el municipio de Supata</t>
  </si>
  <si>
    <t>Se realiza conmemoracion el dia 09 de abril de 2025</t>
  </si>
  <si>
    <t>Se suscrtibe contrato para apoyo en la implementacion de la politica digital</t>
  </si>
  <si>
    <t>Se suscribe contrato para la adquicision de sonido para los diferentes eventos de la entidad</t>
  </si>
  <si>
    <t>Se gestiono tramite en linea para el pago del impuesto predial a traves de pse</t>
  </si>
  <si>
    <t>Se suscribe contrato con profesional que ejecuta el plan de seguridad y salud en el trabajo</t>
  </si>
  <si>
    <t>Se realiza contratacion de los diversos apoyos de las dependencias de la entidad</t>
  </si>
  <si>
    <t>Se suscribe contrato para la realizar actividad de bienestar laboral</t>
  </si>
  <si>
    <t>Se suscribe contrato con apoyo para la organización de archivos de acuerdo a la normativa vigente</t>
  </si>
  <si>
    <t>Se realiza capacitacion a la juntas de accion comunal entregandoles manual para inscripcion consejo municipal de juventudes</t>
  </si>
  <si>
    <t>Se programa redencion de cuentas para el dia 06 de febrero de 2026</t>
  </si>
  <si>
    <t>Se realizo plan mochila en el colegio, puestos de control y campañas de sensibilizacion</t>
  </si>
  <si>
    <t>Se realizo capacitacion a los secretarios de despacho</t>
  </si>
  <si>
    <t>Se realiza el pago de todo el equipo de la comisaria de familia</t>
  </si>
  <si>
    <t xml:space="preserve">Se apoya la inspeccion de policia </t>
  </si>
  <si>
    <t>Se realizan eventos a los establecimientos de comercio sensibilizando sobre la extorsion</t>
  </si>
  <si>
    <t>Se garantizo alimentacion a los capturados durante toda vigencia</t>
  </si>
  <si>
    <t xml:space="preserve">Se garantizo el combustible para las fuerzas militares duarante toda la vigencia </t>
  </si>
  <si>
    <t>Se suscribio convenio con el establecimiento penitenciario de villeta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</si>
</sst>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240A]\ #,##0;\-[$$-240A]\ #,##0"/>
  </numFmts>
  <fonts count="6" x14ac:knownFonts="1">
    <font>
      <sz val="11"/>
      <color theme="1"/>
      <name val="Calibri"/>
      <family val="2"/>
      <scheme val="minor"/>
    </font>
    <font>
      <b/>
      <sz val="14"/>
      <color rgb="FF1F4E79"/>
      <name val="Calibri"/>
    </font>
    <font>
      <b/>
      <sz val="11"/>
      <name val="Calibri"/>
    </font>
    <font>
      <b/>
      <sz val="11"/>
      <color rgb="FFFFFFFF"/>
      <name val="Calibri"/>
    </font>
    <font>
      <sz val="8"/>
      <name val="Calibri"/>
      <family val="2"/>
      <scheme val="minor"/>
    </font>
    <font>
      <sz val="12"/>
      <color rgb="FF000000"/>
      <name val="Arial"/>
      <family val="2"/>
    </font>
  </fonts>
  <fills count="6">
    <fill>
      <patternFill patternType="none"/>
    </fill>
    <fill>
      <patternFill patternType="gray125"/>
    </fill>
    <fill>
      <patternFill patternType="solid">
        <fgColor rgb="FF1F4E79"/>
      </patternFill>
    </fill>
    <fill>
      <patternFill patternType="solid">
        <fgColor theme="0"/>
        <bgColor indexed="64"/>
      </patternFill>
    </fill>
    <fill>
      <patternFill patternType="solid">
        <fgColor theme="4" tint="0.79998168889431442"/>
        <bgColor indexed="64"/>
      </patternFill>
    </fill>
    <fill>
      <patternFill patternType="solid">
        <fgColor rgb="FFFFFF00"/>
        <bgColor indexed="64"/>
      </patternFill>
    </fill>
  </fills>
  <borders count="4">
    <border>
      <left/>
      <right/>
      <top/>
      <bottom/>
      <diagonal/>
    </border>
    <border>
      <left style="thin">
        <color rgb="FFBFBFBF"/>
      </left>
      <right style="thin">
        <color rgb="FFBFBFBF"/>
      </right>
      <top style="thin">
        <color rgb="FFBFBFBF"/>
      </top>
      <bottom style="thin">
        <color rgb="FFBFBFBF"/>
      </bottom>
      <diagonal/>
    </border>
    <border>
      <left style="medium">
        <color rgb="FFBFBFBF"/>
      </left>
      <right style="medium">
        <color rgb="FFBFBFBF"/>
      </right>
      <top style="medium">
        <color rgb="FFBFBFBF"/>
      </top>
      <bottom style="medium">
        <color rgb="FFBFBFBF"/>
      </bottom>
      <diagonal/>
    </border>
    <border>
      <left style="medium">
        <color rgb="FFBFBFBF"/>
      </left>
      <right style="medium">
        <color rgb="FFBFBFBF"/>
      </right>
      <top style="medium">
        <color rgb="FFCCCCCC"/>
      </top>
      <bottom style="medium">
        <color rgb="FFBFBFBF"/>
      </bottom>
      <diagonal/>
    </border>
  </borders>
  <cellStyleXfs count="1">
    <xf numFmtId="0" fontId="0" fillId="0" borderId="0"/>
  </cellStyleXfs>
  <cellXfs count="36">
    <xf numFmtId="0" fontId="0" fillId="0" borderId="0" xfId="0"/>
    <xf numFmtId="0" fontId="1" fillId="0" borderId="0" xfId="0" applyFont="1"/>
    <xf numFmtId="0" fontId="2" fillId="0" borderId="0" xfId="0" applyFont="1"/>
    <xf numFmtId="0" fontId="0" fillId="0" borderId="0" xfId="0" applyAlignment="1">
      <alignment vertical="top" wrapText="1"/>
    </xf>
    <xf numFmtId="0" fontId="3" fillId="2" borderId="1" xfId="0" applyFont="1" applyFill="1" applyBorder="1" applyAlignment="1">
      <alignment horizontal="center" vertical="center" wrapText="1"/>
    </xf>
    <xf numFmtId="0" fontId="0" fillId="0" borderId="1" xfId="0" applyBorder="1" applyAlignment="1">
      <alignment vertical="top" wrapText="1"/>
    </xf>
    <xf numFmtId="10" fontId="0" fillId="0" borderId="1" xfId="0" applyNumberFormat="1" applyBorder="1" applyAlignment="1">
      <alignment vertical="top" wrapText="1"/>
    </xf>
    <xf numFmtId="164" fontId="3" fillId="2" borderId="1" xfId="0" applyNumberFormat="1" applyFont="1" applyFill="1" applyBorder="1" applyAlignment="1">
      <alignment horizontal="center" vertical="center" wrapText="1"/>
    </xf>
    <xf numFmtId="164" fontId="0" fillId="0" borderId="1" xfId="0" applyNumberFormat="1" applyBorder="1" applyAlignment="1">
      <alignment vertical="top" wrapText="1"/>
    </xf>
    <xf numFmtId="164" fontId="0" fillId="0" borderId="0" xfId="0" applyNumberFormat="1"/>
    <xf numFmtId="14" fontId="0" fillId="0" borderId="1" xfId="0" applyNumberFormat="1" applyBorder="1" applyAlignment="1">
      <alignment vertical="top" wrapText="1"/>
    </xf>
    <xf numFmtId="1" fontId="3" fillId="2" borderId="1" xfId="0" applyNumberFormat="1" applyFont="1" applyFill="1" applyBorder="1" applyAlignment="1">
      <alignment horizontal="center" vertical="center" wrapText="1"/>
    </xf>
    <xf numFmtId="1" fontId="0" fillId="0" borderId="1" xfId="0" applyNumberFormat="1" applyBorder="1" applyAlignment="1">
      <alignment vertical="top" wrapText="1"/>
    </xf>
    <xf numFmtId="1" fontId="0" fillId="0" borderId="0" xfId="0" applyNumberFormat="1"/>
    <xf numFmtId="0" fontId="0" fillId="0" borderId="1" xfId="0" applyBorder="1" applyAlignment="1">
      <alignment horizontal="center" vertical="top" wrapText="1"/>
    </xf>
    <xf numFmtId="0" fontId="0" fillId="0" borderId="2" xfId="0" applyBorder="1" applyAlignment="1">
      <alignment vertical="top" wrapText="1"/>
    </xf>
    <xf numFmtId="0" fontId="0" fillId="0" borderId="3" xfId="0" applyBorder="1" applyAlignment="1">
      <alignment vertical="top" wrapText="1"/>
    </xf>
    <xf numFmtId="0" fontId="0" fillId="3" borderId="1" xfId="0" applyFill="1" applyBorder="1" applyAlignment="1">
      <alignment vertical="top" wrapText="1"/>
    </xf>
    <xf numFmtId="0" fontId="0" fillId="3" borderId="1" xfId="0" applyFill="1" applyBorder="1" applyAlignment="1">
      <alignment horizontal="center" vertical="top" wrapText="1"/>
    </xf>
    <xf numFmtId="1" fontId="0" fillId="3" borderId="1" xfId="0" applyNumberFormat="1" applyFill="1" applyBorder="1" applyAlignment="1">
      <alignment vertical="top" wrapText="1"/>
    </xf>
    <xf numFmtId="10" fontId="0" fillId="3" borderId="1" xfId="0" applyNumberFormat="1" applyFill="1" applyBorder="1" applyAlignment="1">
      <alignment vertical="top" wrapText="1"/>
    </xf>
    <xf numFmtId="164" fontId="0" fillId="3" borderId="1" xfId="0" applyNumberFormat="1" applyFill="1" applyBorder="1" applyAlignment="1">
      <alignment vertical="top" wrapText="1"/>
    </xf>
    <xf numFmtId="14" fontId="0" fillId="3" borderId="1" xfId="0" applyNumberFormat="1" applyFill="1" applyBorder="1" applyAlignment="1">
      <alignment vertical="top" wrapText="1"/>
    </xf>
    <xf numFmtId="0" fontId="5" fillId="0" borderId="0" xfId="0" applyFont="1" applyAlignment="1">
      <alignment horizontal="justify" vertical="center"/>
    </xf>
    <xf numFmtId="0" fontId="0" fillId="4" borderId="1" xfId="0" applyFill="1" applyBorder="1" applyAlignment="1">
      <alignment vertical="top" wrapText="1"/>
    </xf>
    <xf numFmtId="1" fontId="0" fillId="4" borderId="1" xfId="0" applyNumberFormat="1" applyFill="1" applyBorder="1" applyAlignment="1">
      <alignment vertical="top" wrapText="1"/>
    </xf>
    <xf numFmtId="10" fontId="0" fillId="4" borderId="1" xfId="0" applyNumberFormat="1" applyFill="1" applyBorder="1" applyAlignment="1">
      <alignment vertical="top" wrapText="1"/>
    </xf>
    <xf numFmtId="164" fontId="0" fillId="4" borderId="1" xfId="0" applyNumberFormat="1" applyFill="1" applyBorder="1" applyAlignment="1">
      <alignment vertical="top" wrapText="1"/>
    </xf>
    <xf numFmtId="14" fontId="0" fillId="4" borderId="1" xfId="0" applyNumberFormat="1" applyFill="1" applyBorder="1" applyAlignment="1">
      <alignment vertical="top" wrapText="1"/>
    </xf>
    <xf numFmtId="0" fontId="0" fillId="5" borderId="1" xfId="0" applyFill="1" applyBorder="1" applyAlignment="1">
      <alignment vertical="top" wrapText="1"/>
    </xf>
    <xf numFmtId="1" fontId="0" fillId="5" borderId="1" xfId="0" applyNumberFormat="1" applyFill="1" applyBorder="1" applyAlignment="1">
      <alignment vertical="top" wrapText="1"/>
    </xf>
    <xf numFmtId="10" fontId="0" fillId="5" borderId="1" xfId="0" applyNumberFormat="1" applyFill="1" applyBorder="1" applyAlignment="1">
      <alignment vertical="top" wrapText="1"/>
    </xf>
    <xf numFmtId="164" fontId="0" fillId="5" borderId="1" xfId="0" applyNumberFormat="1" applyFill="1" applyBorder="1" applyAlignment="1">
      <alignment vertical="top" wrapText="1"/>
    </xf>
    <xf numFmtId="14" fontId="0" fillId="5" borderId="1" xfId="0" applyNumberFormat="1" applyFill="1" applyBorder="1" applyAlignment="1">
      <alignment vertical="top" wrapText="1"/>
    </xf>
    <xf numFmtId="0" fontId="0" fillId="5" borderId="0" xfId="0" applyFill="1"/>
    <xf numFmtId="0" fontId="0" fillId="4" borderId="0" xfId="0" applyFill="1"/>
  </cellXfs>
  <cellStyles count="1">
    <cellStyle name="Normal" xfId="0" builtinId="0"/>
  </cellStyles>
  <dxfs count="9">
    <dxf>
      <fill>
        <patternFill patternType="solid">
          <fgColor rgb="FFFFC7CE"/>
        </patternFill>
      </fill>
    </dxf>
    <dxf>
      <fill>
        <patternFill patternType="solid">
          <fgColor rgb="FFFFEB9C"/>
        </patternFill>
      </fill>
    </dxf>
    <dxf>
      <fill>
        <patternFill patternType="solid">
          <fgColor rgb="FFC6EFCE"/>
        </patternFill>
      </fill>
    </dxf>
    <dxf>
      <fill>
        <patternFill patternType="solid">
          <fgColor rgb="FFFFC7CE"/>
        </patternFill>
      </fill>
    </dxf>
    <dxf>
      <fill>
        <patternFill patternType="solid">
          <fgColor rgb="FFFFEB9C"/>
        </patternFill>
      </fill>
    </dxf>
    <dxf>
      <fill>
        <patternFill patternType="solid">
          <fgColor rgb="FFC6EFCE"/>
        </patternFill>
      </fill>
    </dxf>
    <dxf>
      <fill>
        <patternFill patternType="solid">
          <fgColor rgb="FFFFC7CE"/>
        </patternFill>
      </fill>
    </dxf>
    <dxf>
      <fill>
        <patternFill patternType="solid">
          <fgColor rgb="FFFFEB9C"/>
        </patternFill>
      </fill>
    </dxf>
    <dxf>
      <fill>
        <patternFill patternType="solid">
          <f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rafa_\Downloads\respaldo%20rc\Nueva%20carpeta\BASE_RENDICION_PLAN_DESARROLLO_SUPATA%20ambiente.xlsx" TargetMode="External"/><Relationship Id="rId1" Type="http://schemas.openxmlformats.org/officeDocument/2006/relationships/externalLinkPath" Target="/Users/rafa_/Downloads/respaldo%20rc/Nueva%20carpeta/BASE_RENDICION_PLAN_DESARROLLO_SUPATA%20ambiente.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rafa_\Downloads\respaldo%20rc\desarrollo%20social\BASE_RENDICION_PLAN_DESARROLLO_SUPATA%20social.xlsx" TargetMode="External"/><Relationship Id="rId1" Type="http://schemas.openxmlformats.org/officeDocument/2006/relationships/externalLinkPath" Target="file:///C:\Users\rafa_\Downloads\respaldo%20rc\desarrollo%20social\BASE_RENDICION_PLAN_DESARROLLO_SUPATA%20social.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C:\Users\rafa_\Downloads\respaldo%20rc\hacienda\BASE_RENDICION_PLAN_DESARROLLO_SUPATA%20hacienda.xlsx" TargetMode="External"/><Relationship Id="rId1" Type="http://schemas.openxmlformats.org/officeDocument/2006/relationships/externalLinkPath" Target="file:///C:\Users\rafa_\Downloads\respaldo%20rc\hacienda\BASE_RENDICION_PLAN_DESARROLLO_SUPATA%20hacienda.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file:///C:\Users\rafa_\Downloads\respaldo%20rc\Gobierno\BASE_RENDICION_PLAN_DESARROLLO_SUPATA%20gobierno.xlsx" TargetMode="External"/><Relationship Id="rId1" Type="http://schemas.openxmlformats.org/officeDocument/2006/relationships/externalLinkPath" Target="file:///C:\Users\rafa_\Downloads\respaldo%20rc\Gobierno\BASE_RENDICION_PLAN_DESARROLLO_SUPATA%20gobiern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STRUCCIONES"/>
      <sheetName val="PLAN_DESARROLLO"/>
      <sheetName val="SECRETARIAS"/>
      <sheetName val="LISTAS"/>
      <sheetName val="REGISTRO_AVANCES"/>
      <sheetName val="SEC DESARROLLO RURAL"/>
    </sheetNames>
    <sheetDataSet>
      <sheetData sheetId="0"/>
      <sheetData sheetId="1">
        <row r="1">
          <cell r="A1" t="str">
            <v>ID_META</v>
          </cell>
          <cell r="B1" t="str">
            <v>BPIM</v>
          </cell>
          <cell r="C1" t="str">
            <v>EJE</v>
          </cell>
          <cell r="D1" t="str">
            <v>SECTOR</v>
          </cell>
          <cell r="E1" t="str">
            <v>META_PRODUCTO</v>
          </cell>
        </row>
        <row r="2">
          <cell r="A2" t="str">
            <v>META-001</v>
          </cell>
          <cell r="B2" t="str">
            <v>2024257770003</v>
          </cell>
          <cell r="C2" t="str">
            <v>POR EL SUPATÁ SOÑADO AVANZAMOS JUNTOS EN LA LÍNEA ESTRATÉGICA SOCIAL</v>
          </cell>
          <cell r="D2" t="str">
            <v>EDUCACION</v>
          </cell>
          <cell r="E2" t="str">
            <v xml:space="preserve">Garantizar el 100% de transporte escolar de estudiantes que su institución educativa más cercana supere los 3 kilómetros de distancia desde la vivienda. </v>
          </cell>
        </row>
        <row r="3">
          <cell r="A3" t="str">
            <v>META-002</v>
          </cell>
          <cell r="B3" t="str">
            <v>2024257770003</v>
          </cell>
          <cell r="C3" t="str">
            <v>POR EL SUPATÁ SOÑADO AVANZAMOS JUNTOS EN LA LÍNEA ESTRATÉGICA SOCIAL</v>
          </cell>
          <cell r="D3" t="str">
            <v>EDUCACION</v>
          </cell>
          <cell r="E3" t="str">
            <v>Garantizar la gratuidad en la educación en el 100% de las Instituciones y sedes Educativas del municipio.</v>
          </cell>
        </row>
        <row r="4">
          <cell r="A4" t="str">
            <v>META-003</v>
          </cell>
          <cell r="B4" t="str">
            <v>2024257770003</v>
          </cell>
          <cell r="C4" t="str">
            <v>POR EL SUPATÁ SOÑADO AVANZAMOS JUNTOS EN LA LÍNEA ESTRATÉGICA SOCIAL</v>
          </cell>
          <cell r="D4" t="str">
            <v>EDUCACION</v>
          </cell>
          <cell r="E4" t="str">
            <v>Mantener la cobertura al 100% y fortalecer el servicio de los estudiantes con el servicio de alimentación escolar</v>
          </cell>
        </row>
        <row r="5">
          <cell r="A5" t="str">
            <v>META-004</v>
          </cell>
          <cell r="B5" t="str">
            <v>2024257770003</v>
          </cell>
          <cell r="C5" t="str">
            <v>POR EL SUPATÁ SOÑADO AVANZAMOS JUNTOS EN LA LÍNEA ESTRATÉGICA SOCIAL</v>
          </cell>
          <cell r="D5" t="str">
            <v>EDUCACION</v>
          </cell>
          <cell r="E5" t="str">
            <v xml:space="preserve">Fortalecer una estrategia extra curricular en fomento del idioma ingles </v>
          </cell>
        </row>
        <row r="6">
          <cell r="A6" t="str">
            <v>META-005</v>
          </cell>
          <cell r="B6" t="str">
            <v>2024257770004</v>
          </cell>
          <cell r="C6" t="str">
            <v>POR EL SUPATÁ SOÑADO AVANZAMOS JUNTOS EN LA LÍNEA ESTRATÉGICA SOCIAL</v>
          </cell>
          <cell r="D6" t="str">
            <v>EDUCACION</v>
          </cell>
          <cell r="E6" t="str">
            <v>Realizar 1 dotación de menaje en restaurante escolar de las diferentes sedes de las instituciones Nuestra Señora de la Salud  y el Imparal.)</v>
          </cell>
        </row>
        <row r="7">
          <cell r="A7" t="str">
            <v>META-006</v>
          </cell>
          <cell r="B7" t="str">
            <v>2024257770004</v>
          </cell>
          <cell r="C7" t="str">
            <v>POR EL SUPATÁ SOÑADO AVANZAMOS JUNTOS EN LA LÍNEA ESTRATÉGICA SOCIAL</v>
          </cell>
          <cell r="D7" t="str">
            <v>EDUCACION</v>
          </cell>
          <cell r="E7" t="str">
            <v xml:space="preserve">Mejoramiento y/o mantenimiento en infraestructura de las instituciones educativas y sus sedes. </v>
          </cell>
        </row>
        <row r="8">
          <cell r="A8" t="str">
            <v>META-007</v>
          </cell>
          <cell r="B8" t="str">
            <v>2024257770005</v>
          </cell>
          <cell r="C8" t="str">
            <v>POR EL SUPATÁ SOÑADO AVANZAMOS JUNTOS EN LA LÍNEA ESTRATÉGICA SOCIAL</v>
          </cell>
          <cell r="D8" t="str">
            <v>EDUCACION</v>
          </cell>
          <cell r="E8" t="str">
            <v xml:space="preserve">Construir 1 Alianza con SENA o instituciones de Educación Superior para oferta educativa </v>
          </cell>
        </row>
        <row r="9">
          <cell r="A9" t="str">
            <v>META-008</v>
          </cell>
          <cell r="B9" t="str">
            <v>2024257770005</v>
          </cell>
          <cell r="C9" t="str">
            <v>POR EL SUPATÁ SOÑADO AVANZAMOS JUNTOS EN LA LÍNEA ESTRATÉGICA SOCIAL</v>
          </cell>
          <cell r="D9" t="str">
            <v>EDUCACION</v>
          </cell>
          <cell r="E9" t="str">
            <v>Realizar un (1) convenio anual con el Servicio Nacional de Aprendizaje –SENA-, para la implementación del Programa de Jóvenes Rurales (SENA Emprende Rural)</v>
          </cell>
        </row>
        <row r="10">
          <cell r="A10" t="str">
            <v>META-009</v>
          </cell>
          <cell r="B10" t="str">
            <v>2024257770005</v>
          </cell>
          <cell r="C10" t="str">
            <v>POR EL SUPATÁ SOÑADO AVANZAMOS JUNTOS EN LA LÍNEA ESTRATÉGICA SOCIAL</v>
          </cell>
          <cell r="D10" t="str">
            <v>EDUCACION</v>
          </cell>
          <cell r="E10" t="str">
            <v>Desarrollo de programa de mejoramiento de la calidad educativa PROMCE en minimo dos de sus componentes</v>
          </cell>
        </row>
        <row r="11">
          <cell r="A11" t="str">
            <v>META-010</v>
          </cell>
          <cell r="B11" t="str">
            <v>2024257770006</v>
          </cell>
          <cell r="C11" t="str">
            <v>POR EL SUPATÁ SOÑADO AVANZAMOS JUNTOS EN LA LÍNEA ESTRATÉGICA SOCIAL</v>
          </cell>
          <cell r="D11" t="str">
            <v>SALUD</v>
          </cell>
          <cell r="E11" t="str">
            <v>Aumentar al 90% la población beneficiada con la Estrategia de APS Municipal</v>
          </cell>
        </row>
        <row r="12">
          <cell r="A12" t="str">
            <v>META-011</v>
          </cell>
          <cell r="B12" t="str">
            <v>2024257770006</v>
          </cell>
          <cell r="C12" t="str">
            <v>POR EL SUPATÁ SOÑADO AVANZAMOS JUNTOS EN LA LÍNEA ESTRATÉGICA SOCIAL</v>
          </cell>
          <cell r="D12" t="str">
            <v>SALUD</v>
          </cell>
          <cell r="E12" t="str">
            <v xml:space="preserve">Implementar un plan de  acción de Participación Social en Salud  del Departamento  </v>
          </cell>
        </row>
        <row r="13">
          <cell r="A13" t="str">
            <v>META-012</v>
          </cell>
          <cell r="B13" t="str">
            <v>2024257770006</v>
          </cell>
          <cell r="C13" t="str">
            <v>POR EL SUPATÁ SOÑADO AVANZAMOS JUNTOS EN LA LÍNEA ESTRATÉGICA SOCIAL</v>
          </cell>
          <cell r="D13" t="str">
            <v>SALUD</v>
          </cell>
          <cell r="E13" t="str">
            <v>Gestionar la realizacion de jornadas de salud en la zona rural del municipio para el fortalecimiento de la atencion en el Nivel Primario, aplicacion de tamizajes y acciones de informacion, que incidan en el mantenimiento de la salud y la deteccion oportuna del riego de enfermedades en la poblacion.</v>
          </cell>
        </row>
        <row r="14">
          <cell r="A14" t="str">
            <v>META-013</v>
          </cell>
          <cell r="B14" t="str">
            <v>2024257770006</v>
          </cell>
          <cell r="C14" t="str">
            <v>POR EL SUPATÁ SOÑADO AVANZAMOS JUNTOS EN LA LÍNEA ESTRATÉGICA SOCIAL</v>
          </cell>
          <cell r="D14" t="str">
            <v>SALUD</v>
          </cell>
          <cell r="E14" t="str">
            <v>Aumentar en un 80% las actividades de educación y canalización del riesgo de enfermedades visuales, bucales y auditividas, a través de la aplicación de instrumentos de APS en las visitas de detección del riesgo en el ámbito familiar; garantizando la atención de la población en el marco de la ruta de promoción y mantenimiento de la salud.</v>
          </cell>
        </row>
        <row r="15">
          <cell r="A15" t="str">
            <v>META-014</v>
          </cell>
          <cell r="B15" t="str">
            <v>2024257770006</v>
          </cell>
          <cell r="C15" t="str">
            <v>POR EL SUPATÁ SOÑADO AVANZAMOS JUNTOS EN LA LÍNEA ESTRATÉGICA SOCIAL</v>
          </cell>
          <cell r="D15" t="str">
            <v>SALUD</v>
          </cell>
          <cell r="E15" t="str">
            <v>Incrementar en un 10% la identificación de personas con riesgo de enfermedad cardiovascular, crónica, nutricional y no transmisibles, a fin  de aumentar la cobertura y atención oportuna.</v>
          </cell>
        </row>
        <row r="16">
          <cell r="A16" t="str">
            <v>META-015</v>
          </cell>
          <cell r="B16" t="str">
            <v>2024257770006</v>
          </cell>
          <cell r="C16" t="str">
            <v>POR EL SUPATÁ SOÑADO AVANZAMOS JUNTOS EN LA LÍNEA ESTRATÉGICA SOCIAL</v>
          </cell>
          <cell r="D16" t="str">
            <v>SALUD</v>
          </cell>
          <cell r="E16" t="str">
            <v>Construcción de 1 política pública en salud mental.</v>
          </cell>
        </row>
        <row r="17">
          <cell r="A17" t="str">
            <v>META-016</v>
          </cell>
          <cell r="B17" t="str">
            <v>2024257770006</v>
          </cell>
          <cell r="C17" t="str">
            <v>POR EL SUPATÁ SOÑADO AVANZAMOS JUNTOS EN LA LÍNEA ESTRATÉGICA SOCIAL</v>
          </cell>
          <cell r="D17" t="str">
            <v>SALUD</v>
          </cell>
          <cell r="E17" t="str">
            <v>Generar planes de prevencion para reducir la incidencia de violencia basadas en genero y hechos de violencia intrafamiliar; asi como el consumo y la oferta de sustancias psicoactivas - SPA, en el marco de la promocion de la salud mental.</v>
          </cell>
        </row>
        <row r="18">
          <cell r="A18" t="str">
            <v>META-017</v>
          </cell>
          <cell r="B18" t="str">
            <v>2024257770006</v>
          </cell>
          <cell r="C18" t="str">
            <v>POR EL SUPATÁ SOÑADO AVANZAMOS JUNTOS EN LA LÍNEA ESTRATÉGICA SOCIAL</v>
          </cell>
          <cell r="D18" t="str">
            <v>SALUD</v>
          </cell>
          <cell r="E18" t="str">
            <v>Mantener la mortalidad evitable en cero para poblacion infantil y las maternas del municipio de Supata, a traves del seguimiento al 100% de menores de 5 años y gestantes con alto riesgo por malnutricion y otras condiciones.</v>
          </cell>
        </row>
        <row r="19">
          <cell r="A19" t="str">
            <v>META-018</v>
          </cell>
          <cell r="B19" t="str">
            <v>2024257770006</v>
          </cell>
          <cell r="C19" t="str">
            <v>POR EL SUPATÁ SOÑADO AVANZAMOS JUNTOS EN LA LÍNEA ESTRATÉGICA SOCIAL</v>
          </cell>
          <cell r="D19" t="str">
            <v>SALUD</v>
          </cell>
          <cell r="E19" t="str">
            <v>Adoptar en un 90% la Política Pública Departamental de Seguridad Alimentaria y Nutricional</v>
          </cell>
        </row>
        <row r="20">
          <cell r="A20" t="str">
            <v>META-019</v>
          </cell>
          <cell r="B20" t="str">
            <v>2024257770006</v>
          </cell>
          <cell r="C20" t="str">
            <v>POR EL SUPATÁ SOÑADO AVANZAMOS JUNTOS EN LA LÍNEA ESTRATÉGICA SOCIAL</v>
          </cell>
          <cell r="D20" t="str">
            <v>SALUD</v>
          </cell>
          <cell r="E20" t="str">
            <v xml:space="preserve">Promover que el  95% de las mujeres gestantes del municipio tengan  4 o más controles prenatales, en el marco de la Ruta de Atención Integral Materno Perinatal </v>
          </cell>
        </row>
        <row r="21">
          <cell r="A21" t="str">
            <v>META-020</v>
          </cell>
          <cell r="B21" t="str">
            <v>2024257770006</v>
          </cell>
          <cell r="C21" t="str">
            <v>POR EL SUPATÁ SOÑADO AVANZAMOS JUNTOS EN LA LÍNEA ESTRATÉGICA SOCIAL</v>
          </cell>
          <cell r="D21" t="str">
            <v>SALUD</v>
          </cell>
          <cell r="E21" t="str">
            <v>Implementar y adoptar al 100% la ruta de atencion integral para victimas de violencias de genero.</v>
          </cell>
        </row>
        <row r="22">
          <cell r="A22" t="str">
            <v>META-021</v>
          </cell>
          <cell r="B22" t="str">
            <v>2024257770006</v>
          </cell>
          <cell r="C22" t="str">
            <v>POR EL SUPATÁ SOÑADO AVANZAMOS JUNTOS EN LA LÍNEA ESTRATÉGICA SOCIAL</v>
          </cell>
          <cell r="D22" t="str">
            <v>SALUD</v>
          </cell>
          <cell r="E22" t="str">
            <v xml:space="preserve">Alcanzar  al 80%  de las familias con estrategias de prevención y cuidado adecuado de enfermedades transmitidas por vía aérea o de contacto directo (IRA, TUBERCULOSIS; HANSEN, COVID 19) desde un enfoque comunitario. </v>
          </cell>
        </row>
        <row r="23">
          <cell r="A23" t="str">
            <v>META-022</v>
          </cell>
          <cell r="B23" t="str">
            <v>2024257770006</v>
          </cell>
          <cell r="C23" t="str">
            <v>POR EL SUPATÁ SOÑADO AVANZAMOS JUNTOS EN LA LÍNEA ESTRATÉGICA SOCIAL</v>
          </cell>
          <cell r="D23" t="str">
            <v>SALUD</v>
          </cell>
          <cell r="E23" t="str">
            <v xml:space="preserve">realizar 4 Jornadas anuales de vacunación extramurales que nos permitan llegar a toda la población del territorio y así aumentar cobertura de vacunación. </v>
          </cell>
        </row>
        <row r="24">
          <cell r="A24" t="str">
            <v>META-023</v>
          </cell>
          <cell r="B24" t="str">
            <v>2024257770006</v>
          </cell>
          <cell r="C24" t="str">
            <v>POR EL SUPATÁ SOÑADO AVANZAMOS JUNTOS EN LA LÍNEA ESTRATÉGICA SOCIAL</v>
          </cell>
          <cell r="D24" t="str">
            <v>SALUD</v>
          </cell>
          <cell r="E24" t="str">
            <v xml:space="preserve">Generar estrategias para la promoción de los Estilos, modos y condiciones saludables en el entorno laboral </v>
          </cell>
        </row>
        <row r="25">
          <cell r="A25" t="str">
            <v>META-024</v>
          </cell>
          <cell r="B25" t="str">
            <v>2024257770006</v>
          </cell>
          <cell r="C25" t="str">
            <v>POR EL SUPATÁ SOÑADO AVANZAMOS JUNTOS EN LA LÍNEA ESTRATÉGICA SOCIAL</v>
          </cell>
          <cell r="D25" t="str">
            <v>SALUD</v>
          </cell>
          <cell r="E25" t="str">
            <v xml:space="preserve">Implementar en un 100% la estrategia AIEPI, para el desarrollo integral de los niños y niñas del municipio. </v>
          </cell>
        </row>
        <row r="26">
          <cell r="A26" t="str">
            <v>META-025</v>
          </cell>
          <cell r="B26" t="str">
            <v>2024257770006</v>
          </cell>
          <cell r="C26" t="str">
            <v>POR EL SUPATÁ SOÑADO AVANZAMOS JUNTOS EN LA LÍNEA ESTRATÉGICA SOCIAL</v>
          </cell>
          <cell r="D26" t="str">
            <v>SALUD</v>
          </cell>
          <cell r="E26" t="str">
            <v>Adoptar y  adaptar en un 100%  la política pública desdelas acciones  SALUD e envejecimiento y vejez  departamental conforme a los lineamientos y desarrollos técnicos definidos por el Ministerio de Salud y Protección Social.</v>
          </cell>
        </row>
        <row r="27">
          <cell r="A27" t="str">
            <v>META-026</v>
          </cell>
          <cell r="B27" t="str">
            <v>2024257770006</v>
          </cell>
          <cell r="C27" t="str">
            <v>POR EL SUPATÁ SOÑADO AVANZAMOS JUNTOS EN LA LÍNEA ESTRATÉGICA SOCIAL</v>
          </cell>
          <cell r="D27" t="str">
            <v>SALUD</v>
          </cell>
          <cell r="E27" t="str">
            <v xml:space="preserve">Implementar las acciones correspondientes a la garantia de acceso salud descritas en la  Política Pública Municipal de Discapacidad  de los territorios rurales,  rurales dispersos y urbanos del municipio </v>
          </cell>
        </row>
        <row r="28">
          <cell r="A28" t="str">
            <v>META-027</v>
          </cell>
          <cell r="B28" t="str">
            <v>2024257770006</v>
          </cell>
          <cell r="C28" t="str">
            <v>POR EL SUPATÁ SOÑADO AVANZAMOS JUNTOS EN LA LÍNEA ESTRATÉGICA SOCIAL</v>
          </cell>
          <cell r="D28" t="str">
            <v>SALUD</v>
          </cell>
          <cell r="E28" t="str">
            <v>Garantizar el desarrollo en un  100% de los  Sistemas de  información y vigilancia epidemiológica del municipio.</v>
          </cell>
        </row>
        <row r="29">
          <cell r="A29" t="str">
            <v>META-028</v>
          </cell>
          <cell r="B29" t="str">
            <v>2024257770006</v>
          </cell>
          <cell r="C29" t="str">
            <v>POR EL SUPATÁ SOÑADO AVANZAMOS JUNTOS EN LA LÍNEA ESTRATÉGICA SOCIAL</v>
          </cell>
          <cell r="D29" t="str">
            <v>SALUD</v>
          </cell>
          <cell r="E29" t="str">
            <v>Fortalecer el programa de seguridad de riesgos laborales y salud en el trabajo</v>
          </cell>
        </row>
        <row r="30">
          <cell r="A30" t="str">
            <v>META-029</v>
          </cell>
          <cell r="B30" t="str">
            <v>2024257770007</v>
          </cell>
          <cell r="C30" t="str">
            <v>POR EL SUPATÁ SOÑADO AVANZAMOS JUNTOS EN LA LÍNEA ESTRATÉGICA SOCIAL</v>
          </cell>
          <cell r="D30" t="str">
            <v>SALUD</v>
          </cell>
          <cell r="E30" t="str">
            <v>Gestionar un centro de atención primario en salud rural</v>
          </cell>
        </row>
        <row r="31">
          <cell r="A31" t="str">
            <v>META-030</v>
          </cell>
          <cell r="B31" t="str">
            <v>2024257770007</v>
          </cell>
          <cell r="C31" t="str">
            <v>POR EL SUPATÁ SOÑADO AVANZAMOS JUNTOS EN LA LÍNEA ESTRATÉGICA SOCIAL</v>
          </cell>
          <cell r="D31" t="str">
            <v>SALUD</v>
          </cell>
          <cell r="E31" t="str">
            <v>Garantizar la operatividad de los programas en salud</v>
          </cell>
        </row>
        <row r="32">
          <cell r="A32" t="str">
            <v>META-031</v>
          </cell>
          <cell r="B32" t="str">
            <v>2024257770007</v>
          </cell>
          <cell r="C32" t="str">
            <v>POR EL SUPATÁ SOÑADO AVANZAMOS JUNTOS EN LA LÍNEA ESTRATÉGICA SOCIAL</v>
          </cell>
          <cell r="D32" t="str">
            <v>SALUD</v>
          </cell>
          <cell r="E32" t="str">
            <v>Garantizar el acceso a la salud para población vinculada al régimen  Subsidiado</v>
          </cell>
        </row>
        <row r="33">
          <cell r="A33" t="str">
            <v>META-032</v>
          </cell>
          <cell r="B33" t="str">
            <v>202500000008110</v>
          </cell>
          <cell r="C33" t="str">
            <v>POR EL SUPATÁ SOÑADO AVANZAMOS JUNTOS EN LA LÍNEA ESTRATÉGICA SOCIAL</v>
          </cell>
          <cell r="D33" t="str">
            <v>SALUD</v>
          </cell>
          <cell r="E33" t="str">
            <v xml:space="preserve">Garantizar  el seguimiento al 100% de las EPS e IPS Presentes en el municipio, para la garantía de la calidad de los servicios de salud </v>
          </cell>
        </row>
        <row r="34">
          <cell r="A34" t="str">
            <v>META-033</v>
          </cell>
          <cell r="B34" t="str">
            <v>2024257770009</v>
          </cell>
          <cell r="C34" t="str">
            <v>POR EL SUPATÁ SOÑADO AVANZAMOS JUNTOS EN LA LÍNEA ESTRATÉGICA SOCIAL</v>
          </cell>
          <cell r="D34" t="str">
            <v>CULTURA</v>
          </cell>
          <cell r="E34" t="str">
            <v>Mantener las 3 escuelas de formacion cultural durante el cuatrenio</v>
          </cell>
        </row>
        <row r="35">
          <cell r="A35" t="str">
            <v>META-034</v>
          </cell>
          <cell r="B35" t="str">
            <v>2024257770009</v>
          </cell>
          <cell r="C35" t="str">
            <v>POR EL SUPATÁ SOÑADO AVANZAMOS JUNTOS EN LA LÍNEA ESTRATÉGICA SOCIAL</v>
          </cell>
          <cell r="D35" t="str">
            <v>CULTURA</v>
          </cell>
          <cell r="E35" t="str">
            <v>Realizar (4) Dotaciones a las escuelas de formación cultural</v>
          </cell>
        </row>
        <row r="36">
          <cell r="A36" t="str">
            <v>META-035</v>
          </cell>
          <cell r="B36" t="str">
            <v>2024257770009</v>
          </cell>
          <cell r="C36" t="str">
            <v>POR EL SUPATÁ SOÑADO AVANZAMOS JUNTOS EN LA LÍNEA ESTRATÉGICA SOCIAL</v>
          </cell>
          <cell r="D36" t="str">
            <v>CULTURA</v>
          </cell>
          <cell r="E36" t="str">
            <v>Organizar 4 eventos artísticos y culturales anualmente</v>
          </cell>
        </row>
        <row r="37">
          <cell r="A37" t="str">
            <v>META-036</v>
          </cell>
          <cell r="B37" t="str">
            <v>2024257770009</v>
          </cell>
          <cell r="C37" t="str">
            <v>POR EL SUPATÁ SOÑADO AVANZAMOS JUNTOS EN LA LÍNEA ESTRATÉGICA SOCIAL</v>
          </cell>
          <cell r="D37" t="str">
            <v>CULTURA</v>
          </cell>
          <cell r="E37" t="str">
            <v>Realizar apoyo y/o Dotación en la ludoteca municipal en materiales lúdico-pedagógicos.</v>
          </cell>
        </row>
        <row r="38">
          <cell r="A38" t="str">
            <v>META-037</v>
          </cell>
          <cell r="B38" t="str">
            <v>2024257770009</v>
          </cell>
          <cell r="C38" t="str">
            <v>POR EL SUPATÁ SOÑADO AVANZAMOS JUNTOS EN LA LÍNEA ESTRATÉGICA SOCIAL</v>
          </cell>
          <cell r="D38" t="str">
            <v>CULTURA</v>
          </cell>
          <cell r="E38" t="str">
            <v>Realizar mantenimientos y/o adecuaciones de los escenarios culturales del municipio.</v>
          </cell>
        </row>
        <row r="39">
          <cell r="A39" t="str">
            <v>META-038</v>
          </cell>
          <cell r="B39" t="str">
            <v>2024257770009</v>
          </cell>
          <cell r="C39" t="str">
            <v>POR EL SUPATÁ SOÑADO AVANZAMOS JUNTOS EN LA LÍNEA ESTRATÉGICA SOCIAL</v>
          </cell>
          <cell r="D39" t="str">
            <v>CULTURA</v>
          </cell>
          <cell r="E39" t="str">
            <v>Garantizar el correcto funcionamiento anual de la biblioteca municipal</v>
          </cell>
        </row>
        <row r="40">
          <cell r="A40" t="str">
            <v>META-039</v>
          </cell>
          <cell r="B40" t="str">
            <v>2024257770009</v>
          </cell>
          <cell r="C40" t="str">
            <v>POR EL SUPATÁ SOÑADO AVANZAMOS JUNTOS EN LA LÍNEA ESTRATÉGICA SOCIAL</v>
          </cell>
          <cell r="D40" t="str">
            <v>CULTURA</v>
          </cell>
          <cell r="E40" t="str">
            <v xml:space="preserve">Reconocimiento y dignificación de los gestores culturales y artistas locales. 
</v>
          </cell>
        </row>
        <row r="41">
          <cell r="A41" t="str">
            <v>META-040</v>
          </cell>
          <cell r="B41" t="str">
            <v>2024257770010</v>
          </cell>
          <cell r="C41" t="str">
            <v>POR EL SUPATÁ SOÑADO AVANZAMOS JUNTOS EN LA LÍNEA ESTRATÉGICA SOCIAL</v>
          </cell>
          <cell r="D41" t="str">
            <v>RECREACION Y DEPROTE</v>
          </cell>
          <cell r="E41" t="str">
            <v>Mantener las 4 escuelas de formacion deportiva y recreativa  en el municipio</v>
          </cell>
        </row>
        <row r="42">
          <cell r="A42" t="str">
            <v>META-041</v>
          </cell>
          <cell r="B42" t="str">
            <v>2024257770010</v>
          </cell>
          <cell r="C42" t="str">
            <v>POR EL SUPATÁ SOÑADO AVANZAMOS JUNTOS EN LA LÍNEA ESTRATÉGICA SOCIAL</v>
          </cell>
          <cell r="D42" t="str">
            <v>RECREACION Y DEPROTE</v>
          </cell>
          <cell r="E42" t="str">
            <v>Implementar  una (1) escuela de formación deportiva en la zona rural.</v>
          </cell>
        </row>
        <row r="43">
          <cell r="A43" t="str">
            <v>META-042</v>
          </cell>
          <cell r="B43" t="str">
            <v>2024257770010</v>
          </cell>
          <cell r="C43" t="str">
            <v>POR EL SUPATÁ SOÑADO AVANZAMOS JUNTOS EN LA LÍNEA ESTRATÉGICA SOCIAL</v>
          </cell>
          <cell r="D43" t="str">
            <v>RECREACION Y DEPROTE</v>
          </cell>
          <cell r="E43" t="str">
            <v>Mejorar y mantener  3 escenarios recreo-deportivos  del municipio, durante el periodo de gobierno.</v>
          </cell>
        </row>
        <row r="44">
          <cell r="A44" t="str">
            <v>META-043</v>
          </cell>
          <cell r="B44" t="str">
            <v>2024257770010</v>
          </cell>
          <cell r="C44" t="str">
            <v>POR EL SUPATÁ SOÑADO AVANZAMOS JUNTOS EN LA LÍNEA ESTRATÉGICA SOCIAL</v>
          </cell>
          <cell r="D44" t="str">
            <v>RECREACION Y DEPROTE</v>
          </cell>
          <cell r="E44" t="str">
            <v>Realizar 7 eventos deportivos y/o recreativos en el municipio</v>
          </cell>
        </row>
        <row r="45">
          <cell r="A45" t="str">
            <v>META-044</v>
          </cell>
          <cell r="B45" t="str">
            <v>2024257770010</v>
          </cell>
          <cell r="C45" t="str">
            <v>POR EL SUPATÁ SOÑADO AVANZAMOS JUNTOS EN LA LÍNEA ESTRATÉGICA SOCIAL</v>
          </cell>
          <cell r="D45" t="str">
            <v>RECREACION Y DEPROTE</v>
          </cell>
          <cell r="E45" t="str">
            <v>Servicio de organización de eventos recreativos comunitarios</v>
          </cell>
        </row>
        <row r="46">
          <cell r="A46" t="str">
            <v>META-045</v>
          </cell>
          <cell r="B46" t="str">
            <v>2024257770010</v>
          </cell>
          <cell r="C46" t="str">
            <v>POR EL SUPATÁ SOÑADO AVANZAMOS JUNTOS EN LA LÍNEA ESTRATÉGICA SOCIAL</v>
          </cell>
          <cell r="D46" t="str">
            <v>RECREACION Y DEPROTE</v>
          </cell>
          <cell r="E46" t="str">
            <v>Realizar dotacion de implementos deportivos para la formacion deportiva y recreativa</v>
          </cell>
        </row>
        <row r="47">
          <cell r="A47" t="str">
            <v>META-046</v>
          </cell>
          <cell r="B47" t="str">
            <v>2024257770010</v>
          </cell>
          <cell r="C47" t="str">
            <v>POR EL SUPATÁ SOÑADO AVANZAMOS JUNTOS EN LA LÍNEA ESTRATÉGICA SOCIAL</v>
          </cell>
          <cell r="D47" t="str">
            <v>RECREACION Y DEPROTE</v>
          </cell>
          <cell r="E47" t="str">
            <v>Realizar 2 estudios y diseños para infraestructura deportiva y recreativa en el municipio</v>
          </cell>
        </row>
        <row r="48">
          <cell r="A48" t="str">
            <v>META-047</v>
          </cell>
          <cell r="B48" t="str">
            <v>2024257770011</v>
          </cell>
          <cell r="C48" t="str">
            <v>POR EL SUPATÁ SOÑADO AVANZAMOS JUNTOS EN LA LÍNEA ESTRATÉGICA SOCIAL</v>
          </cell>
          <cell r="D48" t="str">
            <v>POBLACIÓN VULNERABLE - VCA</v>
          </cell>
          <cell r="E48" t="str">
            <v xml:space="preserve">Realizar anualmente los tramites pertinentes para ayuda humanitaria </v>
          </cell>
        </row>
        <row r="49">
          <cell r="A49" t="str">
            <v>META-048</v>
          </cell>
          <cell r="B49" t="str">
            <v>2024257770011</v>
          </cell>
          <cell r="C49" t="str">
            <v>POR EL SUPATÁ SOÑADO AVANZAMOS JUNTOS EN LA LÍNEA ESTRATÉGICA SOCIAL</v>
          </cell>
          <cell r="D49" t="str">
            <v>POBLACIÓN VULNERABLE - VCA</v>
          </cell>
          <cell r="E49" t="str">
            <v xml:space="preserve">Garantizar 4 mesas  tecnicas municipales de participacion de victimas </v>
          </cell>
        </row>
        <row r="50">
          <cell r="A50" t="str">
            <v>META-049</v>
          </cell>
          <cell r="B50" t="str">
            <v>2024257770011</v>
          </cell>
          <cell r="C50" t="str">
            <v>POR EL SUPATÁ SOÑADO AVANZAMOS JUNTOS EN LA LÍNEA ESTRATÉGICA SOCIAL</v>
          </cell>
          <cell r="D50" t="str">
            <v>POBLACIÓN VULNERABLE - VCA</v>
          </cell>
          <cell r="E50" t="str">
            <v xml:space="preserve">Orotgar 1 Auxilios funerarios a población víctima </v>
          </cell>
        </row>
        <row r="51">
          <cell r="A51" t="str">
            <v>META-050</v>
          </cell>
          <cell r="B51" t="str">
            <v>2024257770011</v>
          </cell>
          <cell r="C51" t="str">
            <v>POR EL SUPATÁ SOÑADO AVANZAMOS JUNTOS EN LA LÍNEA ESTRATÉGICA SOCIAL</v>
          </cell>
          <cell r="D51" t="str">
            <v>POBLACIÓN VULNERABLE - VCA</v>
          </cell>
          <cell r="E51" t="str">
            <v>Elaborar la politica publica de victimas local ($0)</v>
          </cell>
        </row>
        <row r="52">
          <cell r="A52" t="str">
            <v>META-051</v>
          </cell>
          <cell r="B52" t="str">
            <v>2024257770011</v>
          </cell>
          <cell r="C52" t="str">
            <v>POR EL SUPATÁ SOÑADO AVANZAMOS JUNTOS EN LA LÍNEA ESTRATÉGICA SOCIAL</v>
          </cell>
          <cell r="D52" t="str">
            <v>POBLACIÓN VULNERABLE - VCA</v>
          </cell>
          <cell r="E52" t="str">
            <v xml:space="preserve">Realizar 4 proyectos productivos para la generación de ingresos victima del conflicto armado </v>
          </cell>
        </row>
        <row r="53">
          <cell r="A53" t="str">
            <v>META-052</v>
          </cell>
          <cell r="B53" t="str">
            <v>2024257770011</v>
          </cell>
          <cell r="C53" t="str">
            <v>POR EL SUPATÁ SOÑADO AVANZAMOS JUNTOS EN LA LÍNEA ESTRATÉGICA SOCIAL</v>
          </cell>
          <cell r="D53" t="str">
            <v>POBLACIÓN VULNERABLE - VCA</v>
          </cell>
          <cell r="E53" t="str">
            <v>Realizar 2 jornadas de caracterizacion municipal de victimas $0</v>
          </cell>
        </row>
        <row r="54">
          <cell r="A54" t="str">
            <v>META-053</v>
          </cell>
          <cell r="B54" t="str">
            <v>2024257770011</v>
          </cell>
          <cell r="C54" t="str">
            <v>POR EL SUPATÁ SOÑADO AVANZAMOS JUNTOS EN LA LÍNEA ESTRATÉGICA SOCIAL</v>
          </cell>
          <cell r="D54" t="str">
            <v>POBLACIÓN VULNERABLE - VCA</v>
          </cell>
          <cell r="E54" t="str">
            <v xml:space="preserve">Conmemoracion del dia nacional de la memoria y la solidaridad con las victimas </v>
          </cell>
        </row>
        <row r="55">
          <cell r="A55" t="str">
            <v>META-054</v>
          </cell>
          <cell r="B55" t="str">
            <v>2024257770012</v>
          </cell>
          <cell r="C55" t="str">
            <v>POR EL SUPATÁ SOÑADO AVANZAMOS JUNTOS EN LA LÍNEA ESTRATÉGICA SOCIAL</v>
          </cell>
          <cell r="D55" t="str">
            <v>POBLACIÓN VULNERABLE - CAPITULO PRIMERA INFANCIA, INFANCIA, ADOLESCENCIA Y JUVENTUD</v>
          </cell>
          <cell r="E55" t="str">
            <v>Realizar cuatro (4) campañas de educación sexual y derechos reproductivos a los adolescentes y jovenes del municipio</v>
          </cell>
        </row>
        <row r="56">
          <cell r="A56" t="str">
            <v>META-055</v>
          </cell>
          <cell r="B56" t="str">
            <v>2024257770012</v>
          </cell>
          <cell r="C56" t="str">
            <v>POR EL SUPATÁ SOÑADO AVANZAMOS JUNTOS EN LA LÍNEA ESTRATÉGICA SOCIAL</v>
          </cell>
          <cell r="D56" t="str">
            <v>POBLACIÓN VULNERABLE - CAPITULO PRIMERA INFANCIA, INFANCIA, ADOLESCENCIA Y JUVENTUD</v>
          </cell>
          <cell r="E56" t="str">
            <v>Realizar cuatro (4) campañas de prevencion de embarazado en mujeres adolescentes</v>
          </cell>
        </row>
        <row r="57">
          <cell r="A57" t="str">
            <v>META-056</v>
          </cell>
          <cell r="B57" t="str">
            <v>2024257770012</v>
          </cell>
          <cell r="C57" t="str">
            <v>POR EL SUPATÁ SOÑADO AVANZAMOS JUNTOS EN LA LÍNEA ESTRATÉGICA SOCIAL</v>
          </cell>
          <cell r="D57" t="str">
            <v>POBLACIÓN VULNERABLE - CAPITULO PRIMERA INFANCIA, INFANCIA, ADOLESCENCIA Y JUVENTUD</v>
          </cell>
        </row>
        <row r="58">
          <cell r="A58" t="str">
            <v>META-057</v>
          </cell>
          <cell r="B58" t="str">
            <v>2024257770012</v>
          </cell>
          <cell r="C58" t="str">
            <v>POR EL SUPATÁ SOÑADO AVANZAMOS JUNTOS EN LA LÍNEA ESTRATÉGICA SOCIAL</v>
          </cell>
          <cell r="D58" t="str">
            <v>POBLACIÓN VULNERABLE - CAPITULO PRIMERA INFANCIA, INFANCIA, ADOLESCENCIA Y JUVENTUD</v>
          </cell>
          <cell r="E58" t="str">
            <v>Realizar cuatro (4) talleres en reconocimiento de los derechos de niños, niñas y adolescentes</v>
          </cell>
        </row>
        <row r="59">
          <cell r="A59" t="str">
            <v>META-058</v>
          </cell>
          <cell r="B59" t="str">
            <v>2024257770012</v>
          </cell>
          <cell r="C59" t="str">
            <v>POR EL SUPATÁ SOÑADO AVANZAMOS JUNTOS EN LA LÍNEA ESTRATÉGICA SOCIAL</v>
          </cell>
          <cell r="D59" t="str">
            <v>POBLACIÓN VULNERABLE - CAPITULO PRIMERA INFANCIA, INFANCIA, ADOLESCENCIA Y JUVENTUD</v>
          </cell>
          <cell r="E59" t="str">
            <v>Realizar cuatro (4) campañas para la proteccioón y prevención del maltrato infantil</v>
          </cell>
        </row>
        <row r="60">
          <cell r="A60" t="str">
            <v>META-059</v>
          </cell>
          <cell r="B60" t="str">
            <v>2024257770012</v>
          </cell>
          <cell r="C60" t="str">
            <v>POR EL SUPATÁ SOÑADO AVANZAMOS JUNTOS EN LA LÍNEA ESTRATÉGICA SOCIAL</v>
          </cell>
          <cell r="D60" t="str">
            <v>POBLACIÓN VULNERABLE - CAPITULO PRIMERA INFANCIA, INFANCIA, ADOLESCENCIA Y JUVENTUD</v>
          </cell>
          <cell r="E60" t="str">
            <v>Realizar dotacion en material pedagógico para los programas de atención de primera infancia</v>
          </cell>
        </row>
        <row r="61">
          <cell r="A61" t="str">
            <v>META-060</v>
          </cell>
          <cell r="B61" t="str">
            <v>2024257770012</v>
          </cell>
          <cell r="C61" t="str">
            <v>POR EL SUPATÁ SOÑADO AVANZAMOS JUNTOS EN LA LÍNEA ESTRATÉGICA SOCIAL</v>
          </cell>
          <cell r="D61" t="str">
            <v>POBLACIÓN VULNERABLE - CAPITULO PRIMERA INFANCIA, INFANCIA, ADOLESCENCIA Y JUVENTUD</v>
          </cell>
          <cell r="E61" t="str">
            <v>Realizar cuatro (4) campañas para el fortalecimiento familiar en el municipio</v>
          </cell>
        </row>
        <row r="62">
          <cell r="A62" t="str">
            <v>META-061</v>
          </cell>
          <cell r="B62" t="str">
            <v>2024257770012</v>
          </cell>
          <cell r="C62" t="str">
            <v>POR EL SUPATÁ SOÑADO AVANZAMOS JUNTOS EN LA LÍNEA ESTRATÉGICA SOCIAL</v>
          </cell>
          <cell r="D62" t="str">
            <v>POBLACIÓN VULNERABLE - CAPITULO PRIMERA INFANCIA, INFANCIA, ADOLESCENCIA Y JUVENTUD</v>
          </cell>
          <cell r="E62" t="str">
            <v>Realizar las acciones necesarias para el aumento de 1 unidad o cupos en la atención del programa “Educación Rural Dispersa”. (VERIFICAR SI ES META DE PRIMERA INFANCIA)</v>
          </cell>
        </row>
        <row r="63">
          <cell r="A63" t="str">
            <v>META-062</v>
          </cell>
          <cell r="B63" t="str">
            <v>2024257770012</v>
          </cell>
          <cell r="C63" t="str">
            <v>POR EL SUPATÁ SOÑADO AVANZAMOS JUNTOS EN LA LÍNEA ESTRATÉGICA SOCIAL</v>
          </cell>
          <cell r="D63" t="str">
            <v>POBLACIÓN VULNERABLE - CAPITULO PRIMERA INFANCIA, INFANCIA, ADOLESCENCIA Y JUVENTUD</v>
          </cell>
          <cell r="E63" t="str">
            <v>Realizar campañas anuales para la prevención de la conducta suicida, en niños, niñas, adolescentes y jovenes</v>
          </cell>
        </row>
        <row r="64">
          <cell r="A64" t="str">
            <v>META-063</v>
          </cell>
          <cell r="B64" t="str">
            <v>2024257770012</v>
          </cell>
          <cell r="C64" t="str">
            <v>POR EL SUPATÁ SOÑADO AVANZAMOS JUNTOS EN LA LÍNEA ESTRATÉGICA SOCIAL</v>
          </cell>
          <cell r="D64" t="str">
            <v>POBLACIÓN VULNERABLE - CAPITULO PRIMERA INFANCIA, INFANCIA, ADOLESCENCIA Y JUVENTUD</v>
          </cell>
          <cell r="E64" t="str">
            <v>Mantener a 100 niños de 0 a 5 años en establecimientos de educación inicial</v>
          </cell>
        </row>
        <row r="65">
          <cell r="A65" t="str">
            <v>META-064</v>
          </cell>
          <cell r="B65" t="str">
            <v>2024257770012</v>
          </cell>
          <cell r="C65" t="str">
            <v>POR EL SUPATÁ SOÑADO AVANZAMOS JUNTOS EN LA LÍNEA ESTRATÉGICA SOCIAL</v>
          </cell>
          <cell r="D65" t="str">
            <v>POBLACIÓN VULNERABLE - CAPITULO PRIMERA INFANCIA, INFANCIA, ADOLESCENCIA Y JUVENTUD</v>
          </cell>
          <cell r="E65" t="str">
            <v>Implementar un programa de apoyo integral a la juventud</v>
          </cell>
        </row>
        <row r="66">
          <cell r="A66" t="str">
            <v>META-065</v>
          </cell>
          <cell r="B66" t="str">
            <v>2024257770013</v>
          </cell>
          <cell r="C66" t="str">
            <v>POR EL SUPATÁ SOÑADO AVANZAMOS JUNTOS EN LA LÍNEA ESTRATÉGICA SOCIAL</v>
          </cell>
          <cell r="D66" t="str">
            <v>POBLACIÓN VULNERABLE- CAPITULO MUJER Y GENERO</v>
          </cell>
          <cell r="E66" t="str">
            <v>Construcción de (1)  centro de innovación empresarial casa social de la mujer.</v>
          </cell>
        </row>
        <row r="67">
          <cell r="A67" t="str">
            <v>META-066</v>
          </cell>
          <cell r="B67" t="str">
            <v>2024257770013</v>
          </cell>
          <cell r="C67" t="str">
            <v>POR EL SUPATÁ SOÑADO AVANZAMOS JUNTOS EN LA LÍNEA ESTRATÉGICA SOCIAL</v>
          </cell>
          <cell r="D67" t="str">
            <v>POBLACIÓN VULNERABLE- CAPITULO MUJER Y GENERO</v>
          </cell>
          <cell r="E67" t="str">
            <v>Realizar anualmente mecanismos para la articulacion, actualización, reactivación y seguimiento de las actividades del Consejo Consultivo de Mujeres, como instancia de representación de sus necesidades e interés</v>
          </cell>
        </row>
        <row r="68">
          <cell r="A68" t="str">
            <v>META-067</v>
          </cell>
          <cell r="B68" t="str">
            <v>2024257770014</v>
          </cell>
          <cell r="C68" t="str">
            <v>POR EL SUPATÁ SOÑADO AVANZAMOS JUNTOS EN LA LÍNEA ESTRATÉGICA SOCIAL</v>
          </cell>
          <cell r="D68" t="str">
            <v>POBLACIÓN VULNERABLE - CAPITULO ADULTO MAYOR</v>
          </cell>
          <cell r="E68" t="str">
            <v>Mentener el Programa Centro Día Urbano y rural para el beneficio</v>
          </cell>
        </row>
        <row r="69">
          <cell r="A69" t="str">
            <v>META-068</v>
          </cell>
          <cell r="B69" t="str">
            <v>2024257770014</v>
          </cell>
          <cell r="C69" t="str">
            <v>POR EL SUPATÁ SOÑADO AVANZAMOS JUNTOS EN LA LÍNEA ESTRATÉGICA SOCIAL</v>
          </cell>
          <cell r="D69" t="str">
            <v>POBLACIÓN VULNERABLE - CAPITULO ADULTO MAYOR</v>
          </cell>
          <cell r="E69" t="str">
            <v>Garantizar la atención integral e institucional de adultos mayores con vulnerabilidad social en el centro de bienestar del adulto mayor "Maria Auxiliadora".</v>
          </cell>
        </row>
        <row r="70">
          <cell r="A70" t="str">
            <v>META-069</v>
          </cell>
          <cell r="B70" t="str">
            <v>2024257770014</v>
          </cell>
          <cell r="C70" t="str">
            <v>POR EL SUPATÁ SOÑADO AVANZAMOS JUNTOS EN LA LÍNEA ESTRATÉGICA SOCIAL</v>
          </cell>
          <cell r="D70" t="str">
            <v>POBLACIÓN VULNERABLE - CAPITULO ADULTO MAYOR</v>
          </cell>
          <cell r="E70" t="str">
            <v>Implementar anualmente la estrategia Rehabilitacion basada en comunidad RBC con la población Adulto Mayor</v>
          </cell>
        </row>
        <row r="71">
          <cell r="A71" t="str">
            <v>META-070</v>
          </cell>
          <cell r="B71" t="str">
            <v>2024257770014</v>
          </cell>
          <cell r="C71" t="str">
            <v>POR EL SUPATÁ SOÑADO AVANZAMOS JUNTOS EN LA LÍNEA ESTRATÉGICA SOCIAL</v>
          </cell>
          <cell r="D71" t="str">
            <v>POBLACIÓN VULNERABLE - CAPITULO ADULTO MAYOR</v>
          </cell>
          <cell r="E71" t="str">
            <v>Realizar 1 Dotación Centro día.</v>
          </cell>
        </row>
        <row r="72">
          <cell r="A72" t="str">
            <v>META-071</v>
          </cell>
          <cell r="B72" t="str">
            <v>2024257770014</v>
          </cell>
          <cell r="C72" t="str">
            <v>POR EL SUPATÁ SOÑADO AVANZAMOS JUNTOS EN LA LÍNEA ESTRATÉGICA SOCIAL</v>
          </cell>
          <cell r="D72" t="str">
            <v>POBLACIÓN VULNERABLE - CAPITULO ADULTO MAYOR</v>
          </cell>
          <cell r="E72" t="str">
            <v>Realizar 4 jornadas de certificación para acceso a subsidios de discapacidad.</v>
          </cell>
        </row>
        <row r="73">
          <cell r="A73" t="str">
            <v>META-072</v>
          </cell>
          <cell r="B73" t="str">
            <v>2024257770014</v>
          </cell>
          <cell r="C73" t="str">
            <v>POR EL SUPATÁ SOÑADO AVANZAMOS JUNTOS EN LA LÍNEA ESTRATÉGICA SOCIAL</v>
          </cell>
          <cell r="D73" t="str">
            <v>POBLACIÓN VULNERABLE - CAPITULO ADULTO MAYOR</v>
          </cell>
          <cell r="E73" t="str">
            <v xml:space="preserve">Mantener anualmente  atencion en el Centro de Vida Sensorial </v>
          </cell>
        </row>
        <row r="74">
          <cell r="A74" t="str">
            <v>META-073</v>
          </cell>
          <cell r="B74" t="str">
            <v>2024257770014</v>
          </cell>
          <cell r="C74" t="str">
            <v>POR EL SUPATÁ SOÑADO AVANZAMOS JUNTOS EN LA LÍNEA ESTRATÉGICA SOCIAL</v>
          </cell>
          <cell r="D74" t="str">
            <v>POBLACIÓN VULNERABLE - CAPITULO ADULTO MAYOR</v>
          </cell>
          <cell r="E74" t="str">
            <v>Celebrar anualmente el día Blanco</v>
          </cell>
        </row>
        <row r="75">
          <cell r="A75" t="str">
            <v>META-074</v>
          </cell>
          <cell r="B75" t="str">
            <v>2024257770014</v>
          </cell>
          <cell r="C75" t="str">
            <v>POR EL SUPATÁ SOÑADO AVANZAMOS JUNTOS EN LA LÍNEA ESTRATÉGICA SOCIAL</v>
          </cell>
          <cell r="D75" t="str">
            <v>POBLACIÓN VULNERABLE - CAPITULO ADULTO MAYOR</v>
          </cell>
          <cell r="E75" t="str">
            <v>Implementar anualmente la estrategia Rehabilitacion basada en comunidad RBC con la población con discapacidad</v>
          </cell>
        </row>
        <row r="76">
          <cell r="A76" t="str">
            <v>META-075</v>
          </cell>
          <cell r="B76" t="str">
            <v>2024257770014</v>
          </cell>
          <cell r="C76" t="str">
            <v>POR EL SUPATÁ SOÑADO AVANZAMOS JUNTOS EN LA LÍNEA ESTRATÉGICA SOCIAL</v>
          </cell>
          <cell r="D76" t="str">
            <v>POBLACIÓN VULNERABLE - CAPITULO ADULTO MAYOR</v>
          </cell>
          <cell r="E76" t="str">
            <v>Realizar 1 Actualizacion de la politica publica de discapacidad</v>
          </cell>
        </row>
        <row r="77">
          <cell r="A77" t="str">
            <v>META-076</v>
          </cell>
          <cell r="B77" t="str">
            <v>2024257770015</v>
          </cell>
          <cell r="C77" t="str">
            <v>POR EL SUPATÁ SOÑADO AVANZAMOS JUNTOS EN LA LÍNEA ESTRATÉGICA SOCIAL</v>
          </cell>
          <cell r="D77" t="str">
            <v>VIVIENDA, CIUDAD Y TERRITORIO-  POBLACIÓN EN CONDICIÓN DE DISCAPACIDAD</v>
          </cell>
          <cell r="E77" t="str">
            <v>Implementar un proyecto para la construcción de vivienda de interés social o de intéres prioritario.</v>
          </cell>
        </row>
        <row r="78">
          <cell r="A78" t="str">
            <v>META-077</v>
          </cell>
          <cell r="B78" t="str">
            <v>2024257770015</v>
          </cell>
          <cell r="C78" t="str">
            <v>POR EL SUPATÁ SOÑADO AVANZAMOS JUNTOS EN LA LÍNEA ESTRATÉGICA SOCIAL</v>
          </cell>
          <cell r="D78" t="str">
            <v>VIVIENDA, CIUDAD Y TERRITORIO-  POBLACIÓN EN CONDICIÓN DE DISCAPACIDAD</v>
          </cell>
          <cell r="E78" t="str">
            <v>Brindar anualmente un (1) apoyo juridico a la población para otorgar titulación de predios.</v>
          </cell>
        </row>
        <row r="79">
          <cell r="A79" t="str">
            <v>META-078</v>
          </cell>
          <cell r="B79" t="str">
            <v>2024257770015</v>
          </cell>
          <cell r="C79" t="str">
            <v>POR EL SUPATÁ SOÑADO AVANZAMOS JUNTOS EN LA LÍNEA ESTRATÉGICA SOCIAL</v>
          </cell>
          <cell r="D79" t="str">
            <v>VIVIENDA, CIUDAD Y TERRITORIO-  POBLACIÓN EN CONDICIÓN DE DISCAPACIDAD</v>
          </cell>
          <cell r="E79" t="str">
            <v>Beneficiar a 50 familias en condición de vulnerabilidad con el mejoramiento de unidad habitacional, pisos, cocina, baños y techos del sector rural</v>
          </cell>
        </row>
        <row r="80">
          <cell r="A80" t="str">
            <v>META-079</v>
          </cell>
          <cell r="B80" t="str">
            <v>2024257770016</v>
          </cell>
          <cell r="C80" t="str">
            <v>POR EL SUPATÁ SOÑADO AVANZAMOS JUNTOS EN LA LÍNEA ESTRATÉGICA SOCIAL</v>
          </cell>
          <cell r="D80" t="str">
            <v>VIVIENDA, CIUDAD Y TERRITORIO</v>
          </cell>
          <cell r="E80" t="str">
            <v>Fortalecer  administrativa y logística anualmente el Consejo Territorial de Planeación para su funcionamiento. (pendiente fortalecimiento institucional cambio de sector)</v>
          </cell>
        </row>
        <row r="81">
          <cell r="A81" t="str">
            <v>META-080</v>
          </cell>
          <cell r="B81" t="str">
            <v>2024257770016</v>
          </cell>
          <cell r="C81" t="str">
            <v>POR EL SUPATÁ SOÑADO AVANZAMOS JUNTOS EN LA LÍNEA ESTRATÉGICA SOCIAL</v>
          </cell>
          <cell r="D81" t="str">
            <v>VIVIENDA, CIUDAD Y TERRITORIO</v>
          </cell>
          <cell r="E81" t="str">
            <v>Adecuación y mantenimiento de la plaza de ferias municipal</v>
          </cell>
        </row>
        <row r="82">
          <cell r="A82" t="str">
            <v>META-081</v>
          </cell>
          <cell r="B82" t="str">
            <v>2024257770016</v>
          </cell>
          <cell r="C82" t="str">
            <v>POR EL SUPATÁ SOÑADO AVANZAMOS JUNTOS EN LA LÍNEA ESTRATÉGICA SOCIAL</v>
          </cell>
          <cell r="D82" t="str">
            <v>VIVIENDA, CIUDAD Y TERRITORIO</v>
          </cell>
          <cell r="E82" t="str">
            <v>Realizar 2 mantenimientos a la plaza de mercado</v>
          </cell>
        </row>
        <row r="83">
          <cell r="A83" t="str">
            <v>META-082</v>
          </cell>
          <cell r="B83" t="str">
            <v>2024257770016</v>
          </cell>
          <cell r="C83" t="str">
            <v>POR EL SUPATÁ SOÑADO AVANZAMOS JUNTOS EN LA LÍNEA ESTRATÉGICA SOCIAL</v>
          </cell>
          <cell r="D83" t="str">
            <v>VIVIENDA, CIUDAD Y TERRITORIO</v>
          </cell>
          <cell r="E83" t="str">
            <v>Implementar  el programa anual  de Banco de Materiales que une esfuerzos entre la administración municipal y la comunidad para la realización de obras necesarias y de gran impacto social en barrios y veredas.</v>
          </cell>
        </row>
        <row r="84">
          <cell r="A84" t="str">
            <v>META-083</v>
          </cell>
          <cell r="B84" t="str">
            <v>2024257770016</v>
          </cell>
          <cell r="C84" t="str">
            <v>POR EL SUPATÁ SOÑADO AVANZAMOS JUNTOS EN LA LÍNEA ESTRATÉGICA SOCIAL</v>
          </cell>
          <cell r="D84" t="str">
            <v>VIVIENDA, CIUDAD Y TERRITORIO</v>
          </cell>
          <cell r="E84" t="str">
            <v>Implementar  un programa  de mantenimiento de espacio público,  zonas verdes y  parques del municipio</v>
          </cell>
        </row>
        <row r="85">
          <cell r="A85" t="str">
            <v>META-084</v>
          </cell>
          <cell r="B85" t="str">
            <v>2024257770016</v>
          </cell>
          <cell r="C85" t="str">
            <v>POR EL SUPATÁ SOÑADO AVANZAMOS JUNTOS EN LA LÍNEA ESTRATÉGICA SOCIAL</v>
          </cell>
          <cell r="D85" t="str">
            <v>VIVIENDA, CIUDAD Y TERRITORIO</v>
          </cell>
          <cell r="E85" t="str">
            <v>Construir, mejorar y adecuar los andenes, pasamanos y escaleras en diversos sectores del casco urbano y centros poblados del municipio.</v>
          </cell>
        </row>
        <row r="86">
          <cell r="A86" t="str">
            <v>META-085</v>
          </cell>
          <cell r="B86" t="str">
            <v>2024257770016</v>
          </cell>
          <cell r="C86" t="str">
            <v>POR EL SUPATÁ SOÑADO AVANZAMOS JUNTOS EN LA LÍNEA ESTRATÉGICA SOCIAL</v>
          </cell>
          <cell r="D86" t="str">
            <v>VIVIENDA, CIUDAD Y TERRITORIO</v>
          </cell>
          <cell r="E86" t="str">
            <v>Estudios y diseños para la construcción de la casa de gobierno</v>
          </cell>
        </row>
        <row r="87">
          <cell r="A87" t="str">
            <v>META-086</v>
          </cell>
          <cell r="B87" t="str">
            <v>2024257770017</v>
          </cell>
          <cell r="C87" t="str">
            <v>POR EL SUPATÁ SOÑADO AVANZAMOS JUNTOS EN LA LÍNEA ESTRATÉGICA SOCIAL</v>
          </cell>
          <cell r="D87" t="str">
            <v>A.P.S.B</v>
          </cell>
          <cell r="E87" t="str">
            <v xml:space="preserve">Realizar 1 optimizacion a la  planta de tratamiento de agua potable </v>
          </cell>
        </row>
        <row r="88">
          <cell r="A88" t="str">
            <v>META-087</v>
          </cell>
          <cell r="B88" t="str">
            <v>2024257770017</v>
          </cell>
          <cell r="C88" t="str">
            <v>POR EL SUPATÁ SOÑADO AVANZAMOS JUNTOS EN LA LÍNEA ESTRATÉGICA SOCIAL</v>
          </cell>
          <cell r="D88" t="str">
            <v>A.P.S.B</v>
          </cell>
          <cell r="E88" t="str">
            <v>Otorgar  anualmente subsidios a los usuarios de los servicios de acueducto, de los estratos 1, 2 y 3 del área urbana,en el cuatrienio</v>
          </cell>
        </row>
        <row r="89">
          <cell r="A89" t="str">
            <v>META-088</v>
          </cell>
          <cell r="B89" t="str">
            <v>2024257770017</v>
          </cell>
          <cell r="C89" t="str">
            <v>POR EL SUPATÁ SOÑADO AVANZAMOS JUNTOS EN LA LÍNEA ESTRATÉGICA SOCIAL</v>
          </cell>
          <cell r="D89" t="str">
            <v>A.P.S.B</v>
          </cell>
          <cell r="E89" t="str">
            <v xml:space="preserve">Realizar optimizaciones a los acueductos veredales </v>
          </cell>
        </row>
        <row r="90">
          <cell r="A90" t="str">
            <v>META-089</v>
          </cell>
          <cell r="B90" t="str">
            <v>2024257770017</v>
          </cell>
          <cell r="C90" t="str">
            <v>POR EL SUPATÁ SOÑADO AVANZAMOS JUNTOS EN LA LÍNEA ESTRATÉGICA SOCIAL</v>
          </cell>
          <cell r="D90" t="str">
            <v>A.P.S.B</v>
          </cell>
          <cell r="E90" t="str">
            <v>Realizar la construcción de 200 metros lineales de red de acueducto en el municipio</v>
          </cell>
        </row>
        <row r="91">
          <cell r="A91" t="str">
            <v>META-090</v>
          </cell>
          <cell r="B91" t="str">
            <v>2024257770017</v>
          </cell>
          <cell r="C91" t="str">
            <v>POR EL SUPATÁ SOÑADO AVANZAMOS JUNTOS EN LA LÍNEA ESTRATÉGICA SOCIAL</v>
          </cell>
          <cell r="D91" t="str">
            <v>A.P.S.B</v>
          </cell>
          <cell r="E91" t="str">
            <v>Transferir anualmente al Plan Departamental de Aguas            -PDA- los recursos comprometidos a través de Acuerdo Municipal en el cuatrienio.</v>
          </cell>
        </row>
        <row r="92">
          <cell r="A92" t="str">
            <v>META-091</v>
          </cell>
          <cell r="B92" t="str">
            <v>2024257770017</v>
          </cell>
          <cell r="C92" t="str">
            <v>POR EL SUPATÁ SOÑADO AVANZAMOS JUNTOS EN LA LÍNEA ESTRATÉGICA SOCIAL</v>
          </cell>
          <cell r="D92" t="str">
            <v>A.P.S.B</v>
          </cell>
          <cell r="E92" t="str">
            <v>Realizar anulmente doce (12)  analisis de calidad del agua de acuerdo a la resolucion 2115 de 2007</v>
          </cell>
        </row>
        <row r="93">
          <cell r="A93" t="str">
            <v>META-092</v>
          </cell>
          <cell r="B93" t="str">
            <v>2024257770017</v>
          </cell>
          <cell r="C93" t="str">
            <v>POR EL SUPATÁ SOÑADO AVANZAMOS JUNTOS EN LA LÍNEA ESTRATÉGICA SOCIAL</v>
          </cell>
          <cell r="D93" t="str">
            <v>A.P.S.B</v>
          </cell>
          <cell r="E93" t="str">
            <v>elaborar el programa de Uso Eficiente y Ahorro del Agua (PUEAA) en el municipio durante el cuatrienio</v>
          </cell>
        </row>
        <row r="94">
          <cell r="A94" t="str">
            <v>META-093</v>
          </cell>
          <cell r="B94" t="str">
            <v>2024257770017</v>
          </cell>
          <cell r="C94" t="str">
            <v>POR EL SUPATÁ SOÑADO AVANZAMOS JUNTOS EN LA LÍNEA ESTRATÉGICA SOCIAL</v>
          </cell>
          <cell r="D94" t="str">
            <v>A.P.S.B</v>
          </cell>
          <cell r="E94" t="str">
            <v xml:space="preserve">Acompañamiento para la legalizacion de acueductos veredales con requisitos minimos </v>
          </cell>
        </row>
        <row r="95">
          <cell r="A95" t="str">
            <v>META-094</v>
          </cell>
          <cell r="B95" t="str">
            <v>2024257770017</v>
          </cell>
          <cell r="C95" t="str">
            <v>POR EL SUPATÁ SOÑADO AVANZAMOS JUNTOS EN LA LÍNEA ESTRATÉGICA SOCIAL</v>
          </cell>
          <cell r="D95" t="str">
            <v>A.P.S.B</v>
          </cell>
          <cell r="E95" t="str">
            <v xml:space="preserve">implementacion de un programa de micromedicion en el area urbana </v>
          </cell>
        </row>
        <row r="96">
          <cell r="A96" t="str">
            <v>META-095</v>
          </cell>
          <cell r="B96" t="str">
            <v>2024257770017</v>
          </cell>
          <cell r="C96" t="str">
            <v>POR EL SUPATÁ SOÑADO AVANZAMOS JUNTOS EN LA LÍNEA ESTRATÉGICA SOCIAL</v>
          </cell>
          <cell r="D96" t="str">
            <v>A.P.S.B</v>
          </cell>
          <cell r="E96" t="str">
            <v>Realizar anulmente el fortalecimiento para el reporte de la informacion de las entidades de control</v>
          </cell>
        </row>
        <row r="97">
          <cell r="A97" t="str">
            <v>META-096</v>
          </cell>
          <cell r="B97" t="str">
            <v>2024257770017</v>
          </cell>
          <cell r="C97" t="str">
            <v>POR EL SUPATÁ SOÑADO AVANZAMOS JUNTOS EN LA LÍNEA ESTRATÉGICA SOCIAL</v>
          </cell>
          <cell r="D97" t="str">
            <v>A.P.S.B</v>
          </cell>
          <cell r="E97" t="str">
            <v xml:space="preserve">Actualizar el Plan de Saneamiento y Manejo de Vertimientos (PSMV) </v>
          </cell>
        </row>
        <row r="98">
          <cell r="A98" t="str">
            <v>META-097</v>
          </cell>
          <cell r="B98" t="str">
            <v>2024257770017</v>
          </cell>
          <cell r="C98" t="str">
            <v>POR EL SUPATÁ SOÑADO AVANZAMOS JUNTOS EN LA LÍNEA ESTRATÉGICA SOCIAL</v>
          </cell>
          <cell r="D98" t="str">
            <v>A.P.S.B</v>
          </cell>
          <cell r="E98" t="str">
            <v>gestionar la ejecución el Plan Maestro de Acueducto y Alcantarillado</v>
          </cell>
        </row>
        <row r="99">
          <cell r="A99" t="str">
            <v>META-098</v>
          </cell>
          <cell r="B99" t="str">
            <v>2024257770017</v>
          </cell>
          <cell r="C99" t="str">
            <v>POR EL SUPATÁ SOÑADO AVANZAMOS JUNTOS EN LA LÍNEA ESTRATÉGICA SOCIAL</v>
          </cell>
          <cell r="D99" t="str">
            <v>A.P.S.B</v>
          </cell>
          <cell r="E99" t="str">
            <v>Otorgar  anualmente subsidios a los usuarios del servicio de alcantarillado de los estratos 1, 2 y 3 del área urbana,en el cuatrienio</v>
          </cell>
        </row>
        <row r="100">
          <cell r="A100" t="str">
            <v>META-099</v>
          </cell>
          <cell r="B100" t="str">
            <v>2024257770017</v>
          </cell>
          <cell r="C100" t="str">
            <v>POR EL SUPATÁ SOÑADO AVANZAMOS JUNTOS EN LA LÍNEA ESTRATÉGICA SOCIAL</v>
          </cell>
          <cell r="D100" t="str">
            <v>A.P.S.B</v>
          </cell>
          <cell r="E100" t="str">
            <v>Mejoramiento de la planta de tratamiento de aguas residuales -PTAR- del Municipio</v>
          </cell>
        </row>
        <row r="101">
          <cell r="A101" t="str">
            <v>META-100</v>
          </cell>
          <cell r="B101" t="str">
            <v>2024257770017</v>
          </cell>
          <cell r="C101" t="str">
            <v>POR EL SUPATÁ SOÑADO AVANZAMOS JUNTOS EN LA LÍNEA ESTRATÉGICA SOCIAL</v>
          </cell>
          <cell r="D101" t="str">
            <v>A.P.S.B</v>
          </cell>
          <cell r="E101" t="str">
            <v xml:space="preserve">Realizar mejoramiento al alcantarillado sanitario y pluvial </v>
          </cell>
        </row>
        <row r="102">
          <cell r="A102" t="str">
            <v>META-101</v>
          </cell>
          <cell r="B102" t="str">
            <v>2024257770017</v>
          </cell>
          <cell r="C102" t="str">
            <v>POR EL SUPATÁ SOÑADO AVANZAMOS JUNTOS EN LA LÍNEA ESTRATÉGICA SOCIAL</v>
          </cell>
          <cell r="D102" t="str">
            <v>A.P.S.B</v>
          </cell>
          <cell r="E102" t="str">
            <v>Implementar el Plan de gestión integral de residuos sólidos (PGIRS) del municipio en el marco de la Resolución No. 754 de 2014 , la Política Nacional para la Gestión Integral de Residuos Sólidos – CONPES 3874 de 2016, y la Resolución 2184 de 2019, en el cuatrenio</v>
          </cell>
        </row>
        <row r="103">
          <cell r="A103" t="str">
            <v>META-102</v>
          </cell>
          <cell r="B103" t="str">
            <v>2024257770017</v>
          </cell>
          <cell r="C103" t="str">
            <v>POR EL SUPATÁ SOÑADO AVANZAMOS JUNTOS EN LA LÍNEA ESTRATÉGICA SOCIAL</v>
          </cell>
          <cell r="D103" t="str">
            <v>A.P.S.B</v>
          </cell>
          <cell r="E103" t="str">
            <v>Otorgar  anualmente subsidios a los usuarios del servicio de  aseo  de los estratos 1, 2 y 3 del área urbana,en el cuatrienio</v>
          </cell>
        </row>
        <row r="104">
          <cell r="A104" t="str">
            <v>META-103</v>
          </cell>
          <cell r="B104" t="str">
            <v>202500000008261</v>
          </cell>
          <cell r="C104" t="str">
            <v>POR EL SUPATÁ SOÑADO AVANZAMOS JUNTOS EN LA LÍNEA ESTRATÉGICA ECONÓMICA</v>
          </cell>
          <cell r="D104" t="str">
            <v>TECNOLOGIAS DE LA INFORMACIÓN Y LAS COMUNICACIONES</v>
          </cell>
          <cell r="E104" t="str">
            <v>Mantener anualmente una persona calificada para Implementar la estrategia de Gobierno Digital</v>
          </cell>
        </row>
        <row r="105">
          <cell r="A105" t="str">
            <v>META-104</v>
          </cell>
          <cell r="B105" t="str">
            <v>202500000008261</v>
          </cell>
          <cell r="C105" t="str">
            <v>POR EL SUPATÁ SOÑADO AVANZAMOS JUNTOS EN LA LÍNEA ESTRATÉGICA ECONÓMICA</v>
          </cell>
          <cell r="D105" t="str">
            <v>TECNOLOGIAS DE LA INFORMACIÓN Y LAS COMUNICACIONES</v>
          </cell>
          <cell r="E105" t="str">
            <v xml:space="preserve">Realizar 2 dotaciones de software, dotación tecnológica, sonido para eventos   y equipos de altavoz </v>
          </cell>
        </row>
        <row r="106">
          <cell r="A106" t="str">
            <v>META-105</v>
          </cell>
          <cell r="B106" t="str">
            <v>202500000008261</v>
          </cell>
          <cell r="C106" t="str">
            <v>POR EL SUPATÁ SOÑADO AVANZAMOS JUNTOS EN LA LÍNEA ESTRATÉGICA ECONÓMICA</v>
          </cell>
          <cell r="D106" t="str">
            <v>TECNOLOGIAS DE LA INFORMACIÓN Y LAS COMUNICACIONES</v>
          </cell>
          <cell r="E106" t="str">
            <v>Realizar anualmente 4 actualizaciones a la página web del municipio con el objetivo de cumplir anualmente con el informe ITA de la Procuraduría General de la Nación</v>
          </cell>
        </row>
        <row r="107">
          <cell r="A107" t="str">
            <v>META-106</v>
          </cell>
          <cell r="B107" t="str">
            <v>202500000008863</v>
          </cell>
          <cell r="C107" t="str">
            <v>POR EL SUPATÁ SOÑADO AVANZAMOS JUNTOS EN LA LÍNEA ESTRATÉGICA ECONÓMICA</v>
          </cell>
          <cell r="D107" t="str">
            <v>TECNOLOGIAS DE LA INFORMACIÓN Y LAS COMUNICACIONES</v>
          </cell>
          <cell r="E107" t="str">
            <v>Realizar anualmente la Implementación de trámites y servicios en línea</v>
          </cell>
        </row>
        <row r="108">
          <cell r="A108" t="str">
            <v>META-107</v>
          </cell>
          <cell r="B108" t="str">
            <v>202500000008863</v>
          </cell>
          <cell r="C108" t="str">
            <v>POR EL SUPATÁ SOÑADO AVANZAMOS JUNTOS EN LA LÍNEA ESTRATÉGICA ECONÓMICA</v>
          </cell>
          <cell r="D108" t="str">
            <v>TECNOLOGIAS DE LA INFORMACIÓN Y LAS COMUNICACIONES</v>
          </cell>
          <cell r="E108" t="str">
            <v>Realizar 4 capacitaciones sobre la importancia de Gobierno Digital y  de las TICS</v>
          </cell>
        </row>
        <row r="109">
          <cell r="A109" t="str">
            <v>META-108</v>
          </cell>
          <cell r="B109" t="str">
            <v>2024257770020</v>
          </cell>
          <cell r="C109" t="str">
            <v>POR EL SUPATÁ SOÑADO AVANZAMOS JUNTOS EN LA LÍNEA ESTRATÉGICA ECONÓMICA</v>
          </cell>
          <cell r="D109" t="str">
            <v>TURISMO</v>
          </cell>
          <cell r="E109" t="str">
            <v>Realizar la construccion de 1 mirador turistico</v>
          </cell>
        </row>
        <row r="110">
          <cell r="A110" t="str">
            <v>META-109</v>
          </cell>
          <cell r="B110" t="str">
            <v>2024257770020</v>
          </cell>
          <cell r="C110" t="str">
            <v>POR EL SUPATÁ SOÑADO AVANZAMOS JUNTOS EN LA LÍNEA ESTRATÉGICA ECONÓMICA</v>
          </cell>
          <cell r="D110" t="str">
            <v>TURISMO</v>
          </cell>
          <cell r="E110" t="str">
            <v>Elaborar el plan turistico del municipio</v>
          </cell>
        </row>
        <row r="111">
          <cell r="A111" t="str">
            <v>META-110</v>
          </cell>
          <cell r="B111" t="str">
            <v>2024257770020</v>
          </cell>
          <cell r="C111" t="str">
            <v>POR EL SUPATÁ SOÑADO AVANZAMOS JUNTOS EN LA LÍNEA ESTRATÉGICA ECONÓMICA</v>
          </cell>
          <cell r="D111" t="str">
            <v>TURISMO</v>
          </cell>
          <cell r="E111" t="str">
            <v>Realizar 4 capacitaciones a los operadores sobre servicios turisticos</v>
          </cell>
        </row>
        <row r="112">
          <cell r="A112" t="str">
            <v>META-111</v>
          </cell>
          <cell r="B112" t="str">
            <v>2024257770020</v>
          </cell>
          <cell r="C112" t="str">
            <v>POR EL SUPATÁ SOÑADO AVANZAMOS JUNTOS EN LA LÍNEA ESTRATÉGICA ECONÓMICA</v>
          </cell>
          <cell r="D112" t="str">
            <v>TURISMO</v>
          </cell>
          <cell r="E112" t="str">
            <v>Brindar anualmente apoyo a iniciativas de proyectos turísticos</v>
          </cell>
        </row>
        <row r="113">
          <cell r="A113" t="str">
            <v>META-112</v>
          </cell>
          <cell r="B113" t="str">
            <v>2024257770020</v>
          </cell>
          <cell r="C113" t="str">
            <v>POR EL SUPATÁ SOÑADO AVANZAMOS JUNTOS EN LA LÍNEA ESTRATÉGICA ECONÓMICA</v>
          </cell>
          <cell r="D113" t="str">
            <v>TURISMO</v>
          </cell>
          <cell r="E113" t="str">
            <v>Realizar eventos turísticas para que se admire la  riqueza ecoturista y agroturista</v>
          </cell>
        </row>
        <row r="114">
          <cell r="A114" t="str">
            <v>META-113</v>
          </cell>
          <cell r="B114" t="str">
            <v>2024257770020</v>
          </cell>
          <cell r="C114" t="str">
            <v>POR EL SUPATÁ SOÑADO AVANZAMOS JUNTOS EN LA LÍNEA ESTRATÉGICA ECONÓMICA</v>
          </cell>
          <cell r="D114" t="str">
            <v>TURISMO</v>
          </cell>
          <cell r="E114" t="str">
            <v>Realizar anualmente alianzas turisticas con entidades de orden nacional, departamental y de cooperacion internacional</v>
          </cell>
        </row>
        <row r="115">
          <cell r="A115" t="str">
            <v>META-114</v>
          </cell>
          <cell r="B115" t="str">
            <v>2024257770020</v>
          </cell>
          <cell r="C115" t="str">
            <v>POR EL SUPATÁ SOÑADO AVANZAMOS JUNTOS EN LA LÍNEA ESTRATÉGICA ECONÓMICA</v>
          </cell>
          <cell r="D115" t="str">
            <v>TURISMO</v>
          </cell>
          <cell r="E115" t="str">
            <v xml:space="preserve">Implementar una campaña de estrategia para la promoción del turismo religioso </v>
          </cell>
        </row>
        <row r="116">
          <cell r="A116" t="str">
            <v>META-115</v>
          </cell>
          <cell r="B116" t="str">
            <v>2024257770020</v>
          </cell>
          <cell r="C116" t="str">
            <v>POR EL SUPATÁ SOÑADO AVANZAMOS JUNTOS EN LA LÍNEA ESTRATÉGICA ECONÓMICA</v>
          </cell>
          <cell r="D116" t="str">
            <v>TURISMO</v>
          </cell>
          <cell r="E116" t="str">
            <v>gestionar proyectos para buscar apoyo en  mantenimiento, mejorameinto o construccion a zonas naturales de uso turístico</v>
          </cell>
        </row>
        <row r="117">
          <cell r="A117" t="str">
            <v>META-116</v>
          </cell>
          <cell r="B117" t="str">
            <v>2024257770020</v>
          </cell>
          <cell r="C117" t="str">
            <v>POR EL SUPATÁ SOÑADO AVANZAMOS JUNTOS EN LA LÍNEA ESTRATÉGICA ECONÓMICA</v>
          </cell>
          <cell r="D117" t="str">
            <v>TURISMO</v>
          </cell>
          <cell r="E117" t="str">
            <v>Apoyar anualmente la asociatividad productiva y comercial en el municipio</v>
          </cell>
        </row>
        <row r="118">
          <cell r="A118" t="str">
            <v>META-117</v>
          </cell>
          <cell r="B118" t="str">
            <v>2024257770021</v>
          </cell>
          <cell r="C118" t="str">
            <v>POR EL SUPATÁ SOÑADO AVANZAMOS JUNTOS EN LA LÍNEA ESTRATÉGICA ECONÓMICA</v>
          </cell>
          <cell r="D118" t="str">
            <v>TRANSPORTE</v>
          </cell>
          <cell r="E118" t="str">
            <v>Realizar mantenimiento rutinario de 50 Km de vías rurales del municipio (cuneteando, conformando, afirmado y compactado, según la necesidad) en el cuatrienio</v>
          </cell>
        </row>
        <row r="119">
          <cell r="A119" t="str">
            <v>META-118</v>
          </cell>
          <cell r="B119" t="str">
            <v>2024257770021</v>
          </cell>
          <cell r="C119" t="str">
            <v>POR EL SUPATÁ SOÑADO AVANZAMOS JUNTOS EN LA LÍNEA ESTRATÉGICA ECONÓMICA</v>
          </cell>
          <cell r="D119" t="str">
            <v>TRANSPORTE</v>
          </cell>
          <cell r="E119" t="str">
            <v>Realizar el mejoramiento, adecuación de vías en la zona rural a través de la construcción de 1.000 ML de placa huellas en concreto o pavimentación, en el cuatrienio</v>
          </cell>
        </row>
        <row r="120">
          <cell r="A120" t="str">
            <v>META-119</v>
          </cell>
          <cell r="B120" t="str">
            <v>2024257770021</v>
          </cell>
          <cell r="C120" t="str">
            <v>POR EL SUPATÁ SOÑADO AVANZAMOS JUNTOS EN LA LÍNEA ESTRATÉGICA ECONÓMICA</v>
          </cell>
          <cell r="D120" t="str">
            <v>TRANSPORTE</v>
          </cell>
          <cell r="E120" t="str">
            <v>Construir  10 obras de arte para el mantenimiento y mejoramiento de la red terciaria del municipio, durante el cuatrienio</v>
          </cell>
        </row>
        <row r="121">
          <cell r="A121" t="str">
            <v>META-120</v>
          </cell>
          <cell r="B121" t="str">
            <v>2024257770021</v>
          </cell>
          <cell r="C121" t="str">
            <v>POR EL SUPATÁ SOÑADO AVANZAMOS JUNTOS EN LA LÍNEA ESTRATÉGICA ECONÓMICA</v>
          </cell>
          <cell r="D121" t="str">
            <v>TRANSPORTE</v>
          </cell>
          <cell r="E121" t="str">
            <v xml:space="preserve">Adquirir maquinaria amarilla </v>
          </cell>
        </row>
        <row r="122">
          <cell r="A122" t="str">
            <v>META-121</v>
          </cell>
          <cell r="B122" t="str">
            <v>2024257770021</v>
          </cell>
          <cell r="C122" t="str">
            <v>POR EL SUPATÁ SOÑADO AVANZAMOS JUNTOS EN LA LÍNEA ESTRATÉGICA ECONÓMICA</v>
          </cell>
          <cell r="D122" t="str">
            <v>TRANSPORTE</v>
          </cell>
          <cell r="E122" t="str">
            <v>Realizar 3 mantenimientos a la maquinaria amarilla propiedad del municipio</v>
          </cell>
        </row>
        <row r="123">
          <cell r="A123" t="str">
            <v>META-122</v>
          </cell>
          <cell r="B123" t="str">
            <v>2024257770021</v>
          </cell>
          <cell r="C123" t="str">
            <v>POR EL SUPATÁ SOÑADO AVANZAMOS JUNTOS EN LA LÍNEA ESTRATÉGICA ECONÓMICA</v>
          </cell>
          <cell r="D123" t="str">
            <v>TRANSPORTE</v>
          </cell>
          <cell r="E123" t="str">
            <v>Realizar la apertura de 2 km de vías terciarias dentro del municipio</v>
          </cell>
        </row>
        <row r="124">
          <cell r="A124" t="str">
            <v>META-123</v>
          </cell>
          <cell r="B124" t="str">
            <v>2024257770021</v>
          </cell>
          <cell r="C124" t="str">
            <v>POR EL SUPATÁ SOÑADO AVANZAMOS JUNTOS EN LA LÍNEA ESTRATÉGICA ECONÓMICA</v>
          </cell>
          <cell r="D124" t="str">
            <v>TRANSPORTE</v>
          </cell>
          <cell r="E124" t="str">
            <v>Realizar el mantenimiento,  rehabilitación  y adecuación  de 100 ML de vías en la zona urbana del municipio, en el periodo de gobierno</v>
          </cell>
        </row>
        <row r="125">
          <cell r="A125" t="str">
            <v>META-124</v>
          </cell>
          <cell r="B125" t="str">
            <v>2024257770021</v>
          </cell>
          <cell r="C125" t="str">
            <v>POR EL SUPATÁ SOÑADO AVANZAMOS JUNTOS EN LA LÍNEA ESTRATÉGICA ECONÓMICA</v>
          </cell>
          <cell r="D125" t="str">
            <v>TRANSPORTE</v>
          </cell>
          <cell r="E125" t="str">
            <v>Mejoramiento y mantenimiento 2 puentes vehiculares,  en la zona rural o urbana del municipio</v>
          </cell>
        </row>
        <row r="126">
          <cell r="A126" t="str">
            <v>META-125</v>
          </cell>
          <cell r="B126" t="str">
            <v>2024257770021</v>
          </cell>
          <cell r="C126" t="str">
            <v>POR EL SUPATÁ SOÑADO AVANZAMOS JUNTOS EN LA LÍNEA ESTRATÉGICA ECONÓMICA</v>
          </cell>
          <cell r="D126" t="str">
            <v>TRANSPORTE</v>
          </cell>
          <cell r="E126" t="str">
            <v>Hacer mantenimiento y/o adecuación  a  4 caminos reales  durante el cuatrienio.</v>
          </cell>
        </row>
        <row r="127">
          <cell r="A127" t="str">
            <v>META-126</v>
          </cell>
          <cell r="B127" t="str">
            <v>2024257770021</v>
          </cell>
          <cell r="C127" t="str">
            <v>POR EL SUPATÁ SOÑADO AVANZAMOS JUNTOS EN LA LÍNEA ESTRATÉGICA ECONÓMICA</v>
          </cell>
          <cell r="D127" t="str">
            <v>TRANSPORTE</v>
          </cell>
          <cell r="E127" t="str">
            <v xml:space="preserve">Realizar 300 metros lineales de señalizacion de vías terciarias y urbanas del municipio. </v>
          </cell>
        </row>
        <row r="128">
          <cell r="A128" t="str">
            <v>META-127</v>
          </cell>
          <cell r="B128" t="str">
            <v>2024257770021</v>
          </cell>
          <cell r="E128" t="str">
            <v>Realizar  4 capacitaciones sobre seguridad vial a los actores viales del municipio</v>
          </cell>
        </row>
        <row r="129">
          <cell r="A129" t="str">
            <v>META-128</v>
          </cell>
          <cell r="B129" t="str">
            <v>2024257770023</v>
          </cell>
          <cell r="C129" t="str">
            <v>POR EL SUPATÁ SOÑADO AVANZAMOS JUNTOS EN LA LÍNEA ESTRATÉGICA ECONÓMICA</v>
          </cell>
          <cell r="D129" t="str">
            <v>AGROPECUARIO</v>
          </cell>
          <cell r="E129" t="str">
            <v>Apoyo   (2) proyectos productivos que me garanticen el uso eficiente en ganaderia y uso del suelo.</v>
          </cell>
        </row>
        <row r="130">
          <cell r="A130" t="str">
            <v>META-129</v>
          </cell>
          <cell r="B130" t="str">
            <v>2024257770023</v>
          </cell>
          <cell r="C130" t="str">
            <v>POR EL SUPATÁ SOÑADO AVANZAMOS JUNTOS EN LA LÍNEA ESTRATÉGICA ECONÓMICA</v>
          </cell>
          <cell r="D130" t="str">
            <v>AGROPECUARIO</v>
          </cell>
          <cell r="E130" t="str">
            <v>Realizar 400 visitas  técnicas solicitada a los sistemas de producción agricolas</v>
          </cell>
        </row>
        <row r="131">
          <cell r="A131" t="str">
            <v>META-130</v>
          </cell>
          <cell r="B131" t="str">
            <v>2024257770023</v>
          </cell>
          <cell r="C131" t="str">
            <v>POR EL SUPATÁ SOÑADO AVANZAMOS JUNTOS EN LA LÍNEA ESTRATÉGICA ECONÓMICA</v>
          </cell>
          <cell r="D131" t="str">
            <v>AGROPECUARIO</v>
          </cell>
          <cell r="E131" t="str">
            <v>Implementar 80 huertas y huertos  caseras</v>
          </cell>
        </row>
        <row r="132">
          <cell r="A132" t="str">
            <v>META-131</v>
          </cell>
          <cell r="B132" t="str">
            <v>2024257770023</v>
          </cell>
          <cell r="C132" t="str">
            <v>POR EL SUPATÁ SOÑADO AVANZAMOS JUNTOS EN LA LÍNEA ESTRATÉGICA ECONÓMICA</v>
          </cell>
          <cell r="D132" t="str">
            <v>AGROPECUARIO</v>
          </cell>
          <cell r="E132" t="str">
            <v>Apoyo a  20  pequeños productores cafeteros del municipio para aumentar las áreas de siembra, mejorar la capacidad productiva y competitividad, en el cuatrenio</v>
          </cell>
        </row>
        <row r="133">
          <cell r="A133" t="str">
            <v>META-132</v>
          </cell>
          <cell r="B133" t="str">
            <v>2024257770023</v>
          </cell>
          <cell r="C133" t="str">
            <v>POR EL SUPATÁ SOÑADO AVANZAMOS JUNTOS EN LA LÍNEA ESTRATÉGICA ECONÓMICA</v>
          </cell>
          <cell r="D133" t="str">
            <v>AGROPECUARIO</v>
          </cell>
          <cell r="E133" t="str">
            <v>Fortalecer  el Programa de Mercados Campesinos para aumentar la comercializacion de los productos agropecuarios</v>
          </cell>
        </row>
        <row r="134">
          <cell r="A134" t="str">
            <v>META-133</v>
          </cell>
          <cell r="B134" t="str">
            <v>2024257770023</v>
          </cell>
          <cell r="C134" t="str">
            <v>POR EL SUPATÁ SOÑADO AVANZAMOS JUNTOS EN LA LÍNEA ESTRATÉGICA ECONÓMICA</v>
          </cell>
          <cell r="D134" t="str">
            <v>AGROPECUARIO</v>
          </cell>
          <cell r="E134" t="str">
            <v>Apoyar a 20 usuarios en la implementacion de sistemas de producción pecuaria con especies menores.</v>
          </cell>
        </row>
        <row r="135">
          <cell r="A135" t="str">
            <v>META-134</v>
          </cell>
          <cell r="B135" t="str">
            <v>2024257770023</v>
          </cell>
          <cell r="C135" t="str">
            <v>POR EL SUPATÁ SOÑADO AVANZAMOS JUNTOS EN LA LÍNEA ESTRATÉGICA ECONÓMICA</v>
          </cell>
          <cell r="D135" t="str">
            <v>AGROPECUARIO</v>
          </cell>
          <cell r="E135" t="str">
            <v>Fortalecer anualmente las asociasiones de productores legalmente constituidas</v>
          </cell>
        </row>
        <row r="136">
          <cell r="A136" t="str">
            <v>META-135</v>
          </cell>
          <cell r="B136" t="str">
            <v>2024257770024</v>
          </cell>
          <cell r="C136" t="str">
            <v>POR EL SUPATÁ SOÑADO AVANZAMOS JUNTOS EN LA LÍNEA ESTRATÉGICA ECONÓMICA</v>
          </cell>
          <cell r="D136" t="str">
            <v>AGROPECUARIO</v>
          </cell>
          <cell r="E136" t="str">
            <v>Capacitar a 100 personas  que elaboren en fincas ganaderas en normatividad ICA</v>
          </cell>
        </row>
        <row r="137">
          <cell r="A137" t="str">
            <v>META-136</v>
          </cell>
          <cell r="B137" t="str">
            <v>202500000009592</v>
          </cell>
          <cell r="C137" t="str">
            <v>POR EL SUPATÁ SOÑADO AVANZAMOS JUNTOS EN LA LÍNEA ESTRATÉGICA ECONÓMICA</v>
          </cell>
          <cell r="D137" t="str">
            <v>AGROPECUARIO</v>
          </cell>
          <cell r="E137" t="str">
            <v>Organizar (4) ferias agropecuarias</v>
          </cell>
        </row>
        <row r="138">
          <cell r="A138" t="str">
            <v>META-137</v>
          </cell>
          <cell r="B138" t="str">
            <v>202500000008911</v>
          </cell>
          <cell r="C138" t="str">
            <v>POR EL SUPATÁ SOÑADO AVANZAMOS JUNTOS EN LA LÍNEA ESTRATÉGICA ECONÓMICA</v>
          </cell>
          <cell r="D138" t="str">
            <v>AGROPECUARIO</v>
          </cell>
          <cell r="E138" t="str">
            <v xml:space="preserve">Realizar 500 procedimientos de esterilización canina y felina con el fin de hacer control de población canina y felina </v>
          </cell>
        </row>
        <row r="139">
          <cell r="A139" t="str">
            <v>META-138</v>
          </cell>
          <cell r="B139" t="str">
            <v>202500000009564</v>
          </cell>
          <cell r="C139" t="str">
            <v>POR EL SUPATÁ SOÑADO AVANZAMOS JUNTOS EN LA LÍNEA ESTRATÉGICA ECONÓMICA</v>
          </cell>
          <cell r="D139" t="str">
            <v>AGROPECUARIO</v>
          </cell>
          <cell r="E139" t="str">
            <v>Crear el plan agropecuario municipal</v>
          </cell>
        </row>
        <row r="140">
          <cell r="A140" t="str">
            <v>META-139</v>
          </cell>
          <cell r="B140" t="str">
            <v>202500000008931</v>
          </cell>
          <cell r="C140" t="str">
            <v>POR EL SUPATÁ SOÑADO AVANZAMOS JUNTOS EN LA LÍNEA ESTRATÉGICA ECONÓMICA</v>
          </cell>
          <cell r="D140" t="str">
            <v>AGROPECUARIO</v>
          </cell>
          <cell r="E140" t="str">
            <v xml:space="preserve">Realizar 500 chequeos reproductivos  en ganado bovino de los diferentes productores del municipio </v>
          </cell>
        </row>
        <row r="141">
          <cell r="A141" t="str">
            <v>META-140</v>
          </cell>
          <cell r="B141" t="str">
            <v>202500000008931</v>
          </cell>
          <cell r="C141" t="str">
            <v>POR EL SUPATÁ SOÑADO AVANZAMOS JUNTOS EN LA LÍNEA ESTRATÉGICA ECONÓMICA</v>
          </cell>
          <cell r="D141" t="str">
            <v>AGROPECUARIO</v>
          </cell>
          <cell r="E141" t="str">
            <v>Reforzar 5 parcelas de cultivos tradicionales, implementando los pincipios basicos de conservación</v>
          </cell>
        </row>
        <row r="142">
          <cell r="A142" t="str">
            <v>META-141</v>
          </cell>
          <cell r="B142" t="str">
            <v>202500000008931</v>
          </cell>
          <cell r="C142" t="str">
            <v>POR EL SUPATÁ SOÑADO AVANZAMOS JUNTOS EN LA LÍNEA ESTRATÉGICA ECONÓMICA</v>
          </cell>
          <cell r="D142" t="str">
            <v>AGROPECUARIO</v>
          </cell>
          <cell r="E142" t="str">
            <v>Realizar 400 inseminaciones artificiales en ganado bovino de los diferentes productores</v>
          </cell>
        </row>
        <row r="143">
          <cell r="A143" t="str">
            <v>META-142</v>
          </cell>
          <cell r="B143" t="str">
            <v>202500000008931</v>
          </cell>
          <cell r="C143" t="str">
            <v>POR EL SUPATÁ SOÑADO AVANZAMOS JUNTOS EN LA LÍNEA ESTRATÉGICA ECONÓMICA</v>
          </cell>
          <cell r="D143" t="str">
            <v>AGROPECUARIO</v>
          </cell>
          <cell r="E143" t="str">
            <v>Mantener el (1) proyecto de mejoramiento genético</v>
          </cell>
        </row>
        <row r="144">
          <cell r="A144" t="str">
            <v>META-143</v>
          </cell>
          <cell r="B144" t="str">
            <v>2024257770029</v>
          </cell>
          <cell r="C144" t="str">
            <v>POR EL SUPATÁ SOÑADO AVANZAMOS JUNTOS EN LA LÍNEA ESTRATÉGICA ECONÓMICA</v>
          </cell>
          <cell r="D144" t="str">
            <v>AGROPECUARIO</v>
          </cell>
          <cell r="E144" t="str">
            <v>Ajustar los estudios y diseños del distrito de riego para solicitar financiacion en una entidad nacional</v>
          </cell>
        </row>
        <row r="145">
          <cell r="A145" t="str">
            <v>META-144</v>
          </cell>
          <cell r="B145" t="str">
            <v>2024257770029</v>
          </cell>
          <cell r="C145" t="str">
            <v>POR EL SUPATÁ SOÑADO AVANZAMOS JUNTOS EN LA LÍNEA ESTRATÉGICA ECONÓMICA</v>
          </cell>
          <cell r="D145" t="str">
            <v>AGROPECUARIO</v>
          </cell>
          <cell r="E145" t="str">
            <v xml:space="preserve">gestionar los estudios y diseños de un centro de acopio para productos agropecuarios. </v>
          </cell>
        </row>
        <row r="146">
          <cell r="A146" t="str">
            <v>META-145</v>
          </cell>
          <cell r="B146" t="str">
            <v>2024257770030</v>
          </cell>
          <cell r="C146" t="str">
            <v>POR EL SUPATÁ SOÑADO AVANZAMOS JUNTOS EN LA LÍNEA ESTRATÉGICA INSTITUCIONAL</v>
          </cell>
          <cell r="D146" t="str">
            <v>FORTALECIMIENTO INSTITUCIONAL</v>
          </cell>
          <cell r="E146" t="str">
            <v>Apoyo Jurídico y operativo para el proceso de cobro coactivo y la actualización del estatuto tributario Municipal.</v>
          </cell>
        </row>
        <row r="147">
          <cell r="A147" t="str">
            <v>META-146</v>
          </cell>
          <cell r="B147" t="str">
            <v>2024257770030</v>
          </cell>
          <cell r="C147" t="str">
            <v>POR EL SUPATÁ SOÑADO AVANZAMOS JUNTOS EN LA LÍNEA ESTRATÉGICA INSTITUCIONAL</v>
          </cell>
          <cell r="D147" t="str">
            <v>FORTALECIMIENTO INSTITUCIONAL</v>
          </cell>
          <cell r="E147" t="str">
            <v>Modernización Tecnológica y administrativa para la Gestión Financiera y Fiscal del Municipio de Supatá Cundinamarca</v>
          </cell>
        </row>
        <row r="148">
          <cell r="A148" t="str">
            <v>META-147</v>
          </cell>
          <cell r="B148" t="str">
            <v>2024257770030</v>
          </cell>
          <cell r="C148" t="str">
            <v>POR EL SUPATÁ SOÑADO AVANZAMOS JUNTOS EN LA LÍNEA ESTRATÉGICA INSTITUCIONAL</v>
          </cell>
          <cell r="D148" t="str">
            <v>FORTALECIMIENTO INSTITUCIONAL</v>
          </cell>
          <cell r="E148" t="str">
            <v>Implementar un  programa  anual para el Fortalecimiento Institucional</v>
          </cell>
        </row>
        <row r="149">
          <cell r="A149" t="str">
            <v>META-148</v>
          </cell>
          <cell r="B149" t="str">
            <v>2024257770030</v>
          </cell>
          <cell r="C149" t="str">
            <v>POR EL SUPATÁ SOÑADO AVANZAMOS JUNTOS EN LA LÍNEA ESTRATÉGICA INSTITUCIONAL</v>
          </cell>
          <cell r="D149" t="str">
            <v>FORTALECIMIENTO INSTITUCIONAL</v>
          </cell>
          <cell r="E149" t="str">
            <v>Realizar un mantenimiento anual de los bienes inmuebles  de propiedad del municipio en el cuatrienio.</v>
          </cell>
        </row>
        <row r="150">
          <cell r="A150" t="str">
            <v>META-149</v>
          </cell>
          <cell r="B150" t="str">
            <v>2024257770030</v>
          </cell>
          <cell r="C150" t="str">
            <v>POR EL SUPATÁ SOÑADO AVANZAMOS JUNTOS EN LA LÍNEA ESTRATÉGICA INSTITUCIONAL</v>
          </cell>
          <cell r="D150" t="str">
            <v>FORTALECIMIENTO INSTITUCIONAL</v>
          </cell>
          <cell r="E150" t="str">
            <v>Realizar construcción de la infraestructura de la Casa de Gobierno del municipio</v>
          </cell>
        </row>
        <row r="151">
          <cell r="A151" t="str">
            <v>META-150</v>
          </cell>
          <cell r="B151" t="str">
            <v>2024257770030</v>
          </cell>
          <cell r="C151" t="str">
            <v>POR EL SUPATÁ SOÑADO AVANZAMOS JUNTOS EN LA LÍNEA ESTRATÉGICA INSTITUCIONAL</v>
          </cell>
          <cell r="D151" t="str">
            <v>FORTALECIMIENTO INSTITUCIONAL</v>
          </cell>
          <cell r="E151" t="str">
            <v>Implementar y ejecutar un Programa anual del Sistema General de Seguridad y Salud en el trabajo en el cuatrienio</v>
          </cell>
        </row>
        <row r="152">
          <cell r="A152" t="str">
            <v>META-151</v>
          </cell>
          <cell r="B152" t="str">
            <v>2024257770030</v>
          </cell>
          <cell r="C152" t="str">
            <v>POR EL SUPATÁ SOÑADO AVANZAMOS JUNTOS EN LA LÍNEA ESTRATÉGICA INSTITUCIONAL</v>
          </cell>
          <cell r="D152" t="str">
            <v>FORTALECIMIENTO INSTITUCIONAL</v>
          </cell>
          <cell r="E152" t="str">
            <v>Realizar anualmente  la contratacion de personal especializado, profesional, tecnico y asistencial en la prestacion de servicios y  apoyo de la gestion en las dependencias de la administracion municipal</v>
          </cell>
        </row>
        <row r="153">
          <cell r="A153" t="str">
            <v>META-152</v>
          </cell>
          <cell r="B153" t="str">
            <v>2024257770030</v>
          </cell>
          <cell r="C153" t="str">
            <v>POR EL SUPATÁ SOÑADO AVANZAMOS JUNTOS EN LA LÍNEA ESTRATÉGICA INSTITUCIONAL</v>
          </cell>
          <cell r="D153" t="str">
            <v>FORTALECIMIENTO INSTITUCIONAL</v>
          </cell>
          <cell r="E153" t="str">
            <v>Implementar un Plan Anual de Bienestar  e Incentivos para los funcionarios de la administración municipal</v>
          </cell>
        </row>
        <row r="154">
          <cell r="A154" t="str">
            <v>META-153</v>
          </cell>
          <cell r="B154" t="str">
            <v>2024257770030</v>
          </cell>
          <cell r="C154" t="str">
            <v>POR EL SUPATÁ SOÑADO AVANZAMOS JUNTOS EN LA LÍNEA ESTRATÉGICA INSTITUCIONAL</v>
          </cell>
          <cell r="D154" t="str">
            <v>FORTALECIMIENTO INSTITUCIONAL</v>
          </cell>
          <cell r="E154" t="str">
            <v>Organizar los archivos de gestión y fondos acumulados de la Administración Municipal  de acuerdo a las  normas vigentes relacionada con los archivos, durante el cuatrienio</v>
          </cell>
        </row>
        <row r="155">
          <cell r="A155" t="str">
            <v>META-154</v>
          </cell>
          <cell r="B155" t="str">
            <v>2024257770031</v>
          </cell>
          <cell r="C155" t="str">
            <v>POR EL SUPATÁ SOÑADO AVANZAMOS JUNTOS EN LA LÍNEA ESTRATÉGICA INSTITUCIONAL</v>
          </cell>
          <cell r="D155" t="str">
            <v>FORTALECIMIENTO INSTITUCIONAL</v>
          </cell>
          <cell r="E155" t="str">
            <v>Realizar (8) reuniones del CMGRD para el establecimiento de mecanismos alerta y reacción ante situaciones de riesgo.</v>
          </cell>
        </row>
        <row r="156">
          <cell r="A156" t="str">
            <v>META-155</v>
          </cell>
          <cell r="B156" t="str">
            <v>2024257770031</v>
          </cell>
          <cell r="C156" t="str">
            <v>POR EL SUPATÁ SOÑADO AVANZAMOS JUNTOS EN LA LÍNEA ESTRATÉGICA INSTITUCIONAL</v>
          </cell>
          <cell r="D156" t="str">
            <v>FORTALECIMIENTO INSTITUCIONAL</v>
          </cell>
          <cell r="E156" t="str">
            <v>Realizar un convenio con el cuerpo de bomberos</v>
          </cell>
        </row>
        <row r="157">
          <cell r="A157" t="str">
            <v>META-156</v>
          </cell>
          <cell r="B157" t="str">
            <v>2024257770031</v>
          </cell>
          <cell r="C157" t="str">
            <v>POR EL SUPATÁ SOÑADO AVANZAMOS JUNTOS EN LA LÍNEA ESTRATÉGICA INSTITUCIONAL</v>
          </cell>
          <cell r="D157" t="str">
            <v>FORTALECIMIENTO INSTITUCIONAL</v>
          </cell>
          <cell r="E157" t="str">
            <v>Realizar  obras  de mitigación del Riesgo</v>
          </cell>
        </row>
        <row r="158">
          <cell r="A158" t="str">
            <v>META-157</v>
          </cell>
          <cell r="B158" t="str">
            <v>2024257770031</v>
          </cell>
          <cell r="C158" t="str">
            <v>POR EL SUPATÁ SOÑADO AVANZAMOS JUNTOS EN LA LÍNEA ESTRATÉGICA INSTITUCIONAL</v>
          </cell>
          <cell r="D158" t="str">
            <v>FORTALECIMIENTO INSTITUCIONAL</v>
          </cell>
          <cell r="E158" t="str">
            <v>Realizar anualmente (1) asistencia tecnica de apoyo a los grupos de socorro</v>
          </cell>
        </row>
        <row r="159">
          <cell r="A159" t="str">
            <v>META-158</v>
          </cell>
          <cell r="B159" t="str">
            <v>2024257770031</v>
          </cell>
          <cell r="C159" t="str">
            <v>POR EL SUPATÁ SOÑADO AVANZAMOS JUNTOS EN LA LÍNEA ESTRATÉGICA INSTITUCIONAL</v>
          </cell>
          <cell r="D159" t="str">
            <v>FORTALECIMIENTO INSTITUCIONAL</v>
          </cell>
          <cell r="E159" t="str">
            <v>Actualizar el plan de gestión del riesgo de desastres y estrategia para la respuesta a emergencias</v>
          </cell>
        </row>
        <row r="160">
          <cell r="A160" t="str">
            <v>META-159</v>
          </cell>
          <cell r="B160" t="str">
            <v>2024257770031</v>
          </cell>
          <cell r="C160" t="str">
            <v>POR EL SUPATÁ SOÑADO AVANZAMOS JUNTOS EN LA LÍNEA ESTRATÉGICA INSTITUCIONAL</v>
          </cell>
          <cell r="D160" t="str">
            <v>FORTALECIMIENTO INSTITUCIONAL</v>
          </cell>
          <cell r="E160" t="str">
            <v>Capacitar a 20 lideres comunitarios en tema de atención y prevención de Gestión del Riesgo</v>
          </cell>
        </row>
        <row r="161">
          <cell r="A161" t="str">
            <v>META-160</v>
          </cell>
          <cell r="B161" t="str">
            <v>2024257770031</v>
          </cell>
          <cell r="C161" t="str">
            <v>POR EL SUPATÁ SOÑADO AVANZAMOS JUNTOS EN LA LÍNEA ESTRATÉGICA INSTITUCIONAL</v>
          </cell>
          <cell r="D161" t="str">
            <v>FORTALECIMIENTO INSTITUCIONAL</v>
          </cell>
          <cell r="E161" t="str">
            <v>Realizar (4) simulacros de evacuación</v>
          </cell>
        </row>
        <row r="162">
          <cell r="A162" t="str">
            <v>META-161</v>
          </cell>
          <cell r="B162" t="str">
            <v>2024257770031</v>
          </cell>
          <cell r="C162" t="str">
            <v>POR EL SUPATÁ SOÑADO AVANZAMOS JUNTOS EN LA LÍNEA ESTRATÉGICA INSTITUCIONAL</v>
          </cell>
          <cell r="D162" t="str">
            <v>FORTALECIMIENTO INSTITUCIONAL</v>
          </cell>
          <cell r="E162" t="str">
            <v>Implementar un programa anual  para la  ayuda humanitaria y la atención de la población afectada por desastres y emergencias sanitarias</v>
          </cell>
        </row>
        <row r="163">
          <cell r="A163" t="str">
            <v>META-162</v>
          </cell>
          <cell r="B163" t="str">
            <v>2024257770031</v>
          </cell>
          <cell r="C163" t="str">
            <v>POR EL SUPATÁ SOÑADO AVANZAMOS JUNTOS EN LA LÍNEA ESTRATÉGICA INSTITUCIONAL</v>
          </cell>
          <cell r="D163" t="str">
            <v>FORTALECIMIENTO INSTITUCIONAL</v>
          </cell>
          <cell r="E163" t="str">
            <v>Realizar ( 4) capacitaciones del comité Local de Atención y Prevención de Desastres en atención y prevención del riesgo</v>
          </cell>
        </row>
        <row r="164">
          <cell r="A164" t="str">
            <v>META-163</v>
          </cell>
          <cell r="B164" t="str">
            <v>2024257770032</v>
          </cell>
          <cell r="C164" t="str">
            <v>POR EL SUPATÁ SOÑADO AVANZAMOS JUNTOS EN LA LÍNEA ESTRATÉGICA INSTITUCIONAL</v>
          </cell>
          <cell r="D164" t="str">
            <v>DESARROLLO COMUNITARIO</v>
          </cell>
          <cell r="E164" t="str">
            <v xml:space="preserve">Efectuar 04 actividades encaminadas a reactivar y fortalecer los espacios de participación. </v>
          </cell>
        </row>
        <row r="165">
          <cell r="A165" t="str">
            <v>META-164</v>
          </cell>
          <cell r="B165" t="str">
            <v>2024257770032</v>
          </cell>
          <cell r="C165" t="str">
            <v>POR EL SUPATÁ SOÑADO AVANZAMOS JUNTOS EN LA LÍNEA ESTRATÉGICA INSTITUCIONAL</v>
          </cell>
          <cell r="D165" t="str">
            <v>DESARROLLO COMUNITARIO</v>
          </cell>
          <cell r="E165" t="str">
            <v>Realizar 04 capacitaciones para fortalecer las juntas de acción comunal.</v>
          </cell>
        </row>
        <row r="166">
          <cell r="A166" t="str">
            <v>META-165</v>
          </cell>
          <cell r="B166" t="str">
            <v>2024257770032</v>
          </cell>
          <cell r="C166" t="str">
            <v>POR EL SUPATÁ SOÑADO AVANZAMOS JUNTOS EN LA LÍNEA ESTRATÉGICA INSTITUCIONAL</v>
          </cell>
          <cell r="D166" t="str">
            <v>DESARROLLO COMUNITARIO</v>
          </cell>
          <cell r="E166" t="str">
            <v>Realizar 4 rendiciones de cuentas sobre la gestión de la administración municipal.</v>
          </cell>
        </row>
        <row r="167">
          <cell r="A167" t="str">
            <v>META-166</v>
          </cell>
          <cell r="B167" t="str">
            <v>2024257770032</v>
          </cell>
          <cell r="C167" t="str">
            <v>POR EL SUPATÁ SOÑADO AVANZAMOS JUNTOS EN LA LÍNEA ESTRATÉGICA INSTITUCIONAL</v>
          </cell>
          <cell r="D167" t="str">
            <v>DESARROLLO COMUNITARIO</v>
          </cell>
          <cell r="E167" t="str">
            <v>Promover 1 veeduría ciudadana como espacio garante de control social.</v>
          </cell>
        </row>
        <row r="168">
          <cell r="A168" t="str">
            <v>META-167</v>
          </cell>
          <cell r="B168" t="str">
            <v>2024257770033</v>
          </cell>
          <cell r="C168" t="str">
            <v>POR EL SUPATÁ SOÑADO AVANZAMOS JUNTOS EN LA LÍNEA ESTRATÉGICA INSTITUCIONAL</v>
          </cell>
          <cell r="D168" t="str">
            <v>DESARROLLO COMUNITARIO</v>
          </cell>
          <cell r="E168" t="str">
            <v>Actualizar el plan integral de convivencia ciudadana</v>
          </cell>
        </row>
        <row r="169">
          <cell r="A169" t="str">
            <v>META-168</v>
          </cell>
          <cell r="B169" t="str">
            <v>2024257770033</v>
          </cell>
          <cell r="C169" t="str">
            <v>POR EL SUPATÁ SOÑADO AVANZAMOS JUNTOS EN LA LÍNEA ESTRATÉGICA INSTITUCIONAL</v>
          </cell>
          <cell r="D169" t="str">
            <v>DESARROLLO COMUNITARIO</v>
          </cell>
          <cell r="E169" t="str">
            <v>Realizar (4) actividades que involucren temas de seguridad y colaboración.</v>
          </cell>
        </row>
        <row r="170">
          <cell r="A170" t="str">
            <v>META-169</v>
          </cell>
          <cell r="B170" t="str">
            <v>2024257770033</v>
          </cell>
          <cell r="C170" t="str">
            <v>POR EL SUPATÁ SOÑADO AVANZAMOS JUNTOS EN LA LÍNEA ESTRATÉGICA INSTITUCIONAL</v>
          </cell>
          <cell r="D170" t="str">
            <v>DESARROLLO COMUNITARIO</v>
          </cell>
          <cell r="E170" t="str">
            <v>Realizar 4 asistencias tecnicas sobre prevención a violaciones de derechos humanos</v>
          </cell>
        </row>
        <row r="171">
          <cell r="A171" t="str">
            <v>META-170</v>
          </cell>
          <cell r="B171" t="str">
            <v>202500000008932</v>
          </cell>
          <cell r="C171" t="str">
            <v>POR EL SUPATÁ SOÑADO AVANZAMOS JUNTOS EN LA LÍNEA ESTRATÉGICA INSTITUCIONAL</v>
          </cell>
          <cell r="D171" t="str">
            <v>TRABAJO</v>
          </cell>
          <cell r="E171" t="str">
            <v>Realizar 4 eventos sobre gestion de emprendimientos</v>
          </cell>
        </row>
        <row r="172">
          <cell r="A172" t="str">
            <v>META-171</v>
          </cell>
          <cell r="B172" t="str">
            <v>2024257770035</v>
          </cell>
          <cell r="C172" t="str">
            <v>POR EL SUPATÁ SOÑADO AVANZAMOS JUNTOS EN LA LÍNEA ESTRATÉGICA INSTITUCIONAL</v>
          </cell>
          <cell r="D172" t="str">
            <v>JUSTICIA Y SEGURIDAD CIUDADANA</v>
          </cell>
          <cell r="E172" t="str">
            <v>fortalecer el grupo interdisciplinario de la comisaria de familia para Garantizar, proteger, restablecer y reparar los derechos de los miembros de la familia sgp libre destinacion 135millones + 15 m pro justicia familiar estampilla todos los años</v>
          </cell>
        </row>
        <row r="173">
          <cell r="A173" t="str">
            <v>META-172</v>
          </cell>
          <cell r="B173" t="str">
            <v>2024257770035</v>
          </cell>
          <cell r="C173" t="str">
            <v>POR EL SUPATÁ SOÑADO AVANZAMOS JUNTOS EN LA LÍNEA ESTRATÉGICA INSTITUCIONAL</v>
          </cell>
          <cell r="D173" t="str">
            <v>JUSTICIA Y SEGURIDAD CIUDADANA</v>
          </cell>
          <cell r="E173" t="str">
            <v>Apoyar anualmente a la inspeccion de policia  90Millones SPG libre destinación todos los años auumentar 5% al año</v>
          </cell>
        </row>
        <row r="174">
          <cell r="A174" t="str">
            <v>META-173</v>
          </cell>
          <cell r="B174" t="str">
            <v>2024257770035</v>
          </cell>
          <cell r="C174" t="str">
            <v>POR EL SUPATÁ SOÑADO AVANZAMOS JUNTOS EN LA LÍNEA ESTRATÉGICA INSTITUCIONAL</v>
          </cell>
          <cell r="D174" t="str">
            <v>JUSTICIA Y SEGURIDAD CIUDADANA</v>
          </cell>
          <cell r="E174" t="str">
            <v xml:space="preserve">Realizar (1) acción para la implementación de herramientas tecnologicas de seguridad  CAMARAS DE VIGILANCIA </v>
          </cell>
        </row>
        <row r="175">
          <cell r="A175" t="str">
            <v>META-174</v>
          </cell>
          <cell r="B175" t="str">
            <v>2024257770035</v>
          </cell>
          <cell r="C175" t="str">
            <v>POR EL SUPATÁ SOÑADO AVANZAMOS JUNTOS EN LA LÍNEA ESTRATÉGICA INSTITUCIONAL</v>
          </cell>
          <cell r="D175" t="str">
            <v>JUSTICIA Y SEGURIDAD CIUDADANA</v>
          </cell>
          <cell r="E175" t="str">
            <v>Realizar 24 Consejos de Seguridad</v>
          </cell>
        </row>
        <row r="176">
          <cell r="A176" t="str">
            <v>META-175</v>
          </cell>
          <cell r="B176" t="str">
            <v>2024257770036</v>
          </cell>
          <cell r="C176" t="str">
            <v>POR EL SUPATÁ SOÑADO AVANZAMOS JUNTOS EN LA LÍNEA ESTRATÉGICA INSTITUCIONAL</v>
          </cell>
          <cell r="D176" t="str">
            <v>JUSTICIA Y SEGURIDAD CIUDADANA</v>
          </cell>
          <cell r="E176" t="str">
            <v>Realizar cuatro (4) campañas para la prevención en material penal</v>
          </cell>
        </row>
        <row r="177">
          <cell r="A177" t="str">
            <v>META-176</v>
          </cell>
          <cell r="B177" t="str">
            <v>202500000008965</v>
          </cell>
          <cell r="C177" t="str">
            <v>POR EL SUPATÁ SOÑADO AVANZAMOS JUNTOS EN LA LÍNEA ESTRATÉGICA INSTITUCIONAL</v>
          </cell>
          <cell r="D177" t="str">
            <v>JUSTICIA Y SEGURIDAD CIUDADANA</v>
          </cell>
          <cell r="E177" t="str">
            <v>Garantizar anualmente el suministro de alimentación a las personas privadas de la libertad</v>
          </cell>
        </row>
        <row r="178">
          <cell r="A178" t="str">
            <v>META-177</v>
          </cell>
          <cell r="B178" t="str">
            <v>202500000008965</v>
          </cell>
          <cell r="C178" t="str">
            <v>POR EL SUPATÁ SOÑADO AVANZAMOS JUNTOS EN LA LÍNEA ESTRATÉGICA INSTITUCIONAL</v>
          </cell>
          <cell r="D178" t="str">
            <v>JUSTICIA Y SEGURIDAD CIUDADANA</v>
          </cell>
          <cell r="E178" t="str">
            <v>Fortalecer anualmente el funcionamiento de las fuerzas publicas con los recursos del fonde de seguridad</v>
          </cell>
        </row>
        <row r="179">
          <cell r="A179" t="str">
            <v>META-178</v>
          </cell>
          <cell r="B179" t="str">
            <v>202500000008965</v>
          </cell>
          <cell r="C179" t="str">
            <v>POR EL SUPATÁ SOÑADO AVANZAMOS JUNTOS EN LA LÍNEA ESTRATÉGICA INSTITUCIONAL</v>
          </cell>
          <cell r="D179" t="str">
            <v>JUSTICIA Y SEGURIDAD CIUDADANA</v>
          </cell>
          <cell r="E179" t="str">
            <v>Realizar (1) convenio anual con el Inpec de conformidad con los lineamientos establecidos de la ley 10 millones sgp libre inversion</v>
          </cell>
        </row>
        <row r="180">
          <cell r="A180" t="str">
            <v>META-179</v>
          </cell>
          <cell r="B180" t="str">
            <v>2024257770038</v>
          </cell>
          <cell r="C180" t="str">
            <v>POR EL SUPATÁ SOÑADO AVANZAMOS JUNTOS EN LA LÍNEA ESTRATÉGICA AMBIENTAL</v>
          </cell>
          <cell r="D180" t="str">
            <v>SERVICIOS DIFERENTES APSB</v>
          </cell>
          <cell r="E180" t="str">
            <v>Realizar la ampliación del sistema de alumbrado publico</v>
          </cell>
        </row>
        <row r="181">
          <cell r="A181" t="str">
            <v>META-180</v>
          </cell>
          <cell r="B181" t="str">
            <v>2024257770038</v>
          </cell>
          <cell r="C181" t="str">
            <v>POR EL SUPATÁ SOÑADO AVANZAMOS JUNTOS EN LA LÍNEA ESTRATÉGICA AMBIENTAL</v>
          </cell>
          <cell r="D181" t="str">
            <v>SERVICIOS DIFERENTES APSB</v>
          </cell>
          <cell r="E181" t="str">
            <v>Garantizar el optimo funcionamiento del sistema de alummbrado público</v>
          </cell>
        </row>
        <row r="182">
          <cell r="A182" t="str">
            <v>META-181</v>
          </cell>
          <cell r="B182" t="str">
            <v>2024257770038</v>
          </cell>
          <cell r="C182" t="str">
            <v>POR EL SUPATÁ SOÑADO AVANZAMOS JUNTOS EN LA LÍNEA ESTRATÉGICA AMBIENTAL</v>
          </cell>
          <cell r="D182" t="str">
            <v>SERVICIOS DIFERENTES APSB</v>
          </cell>
          <cell r="E182" t="str">
            <v>Realizar anualmente los pagos de servicio de alumbrado público</v>
          </cell>
        </row>
        <row r="183">
          <cell r="A183" t="str">
            <v>META-182</v>
          </cell>
          <cell r="B183" t="str">
            <v>2024257770038</v>
          </cell>
          <cell r="C183" t="str">
            <v>POR EL SUPATÁ SOÑADO AVANZAMOS JUNTOS EN LA LÍNEA ESTRATÉGICA AMBIENTAL</v>
          </cell>
          <cell r="D183" t="str">
            <v>SERVICIOS DIFERENTES APSB</v>
          </cell>
          <cell r="E183" t="str">
            <v>Realizar un (1) estudio tecnico del servicio de Alumbrado Público</v>
          </cell>
        </row>
        <row r="184">
          <cell r="A184" t="str">
            <v>META-183</v>
          </cell>
          <cell r="B184" t="str">
            <v>2024257770038</v>
          </cell>
          <cell r="C184" t="str">
            <v>POR EL SUPATÁ SOÑADO AVANZAMOS JUNTOS EN LA LÍNEA ESTRATÉGICA AMBIENTAL</v>
          </cell>
          <cell r="D184" t="str">
            <v>SERVICIOS DIFERENTES APSB</v>
          </cell>
          <cell r="E184" t="str">
            <v>gestionar la implementación de energías alternativas</v>
          </cell>
        </row>
        <row r="185">
          <cell r="A185" t="str">
            <v>META-184</v>
          </cell>
          <cell r="B185" t="str">
            <v>2024257770039</v>
          </cell>
          <cell r="C185" t="str">
            <v>POR EL SUPATÁ SOÑADO AVANZAMOS JUNTOS EN LA LÍNEA ESTRATÉGICA AMBIENTAL</v>
          </cell>
          <cell r="D185" t="str">
            <v>SERVICIOS DIFERENTES APSB</v>
          </cell>
          <cell r="E185" t="str">
            <v>Ampliar beneficiarios del servicio de gas</v>
          </cell>
        </row>
        <row r="186">
          <cell r="A186" t="str">
            <v>META-185</v>
          </cell>
          <cell r="B186" t="str">
            <v>202500000008969</v>
          </cell>
          <cell r="C186" t="str">
            <v>POR EL SUPATÁ SOÑADO AVANZAMOS JUNTOS EN LA LÍNEA ESTRATÉGICA AMBIENTAL</v>
          </cell>
          <cell r="D186" t="str">
            <v>AMBIENTE</v>
          </cell>
          <cell r="E186" t="str">
            <v>Adelantar acciones para la implementación del plan de adaptación al cambio climático</v>
          </cell>
        </row>
        <row r="187">
          <cell r="A187" t="str">
            <v>META-186</v>
          </cell>
          <cell r="B187" t="str">
            <v>202500000008969</v>
          </cell>
          <cell r="C187" t="str">
            <v>POR EL SUPATÁ SOÑADO AVANZAMOS JUNTOS EN LA LÍNEA ESTRATÉGICA AMBIENTAL</v>
          </cell>
          <cell r="D187" t="str">
            <v>AMBIENTE</v>
          </cell>
          <cell r="E187" t="str">
            <v>Realizar 4 campañas que aporten a la disminución de contaminantes por residuos solidos.</v>
          </cell>
        </row>
        <row r="188">
          <cell r="A188" t="str">
            <v>META-187</v>
          </cell>
          <cell r="B188" t="str">
            <v>202500000008969</v>
          </cell>
          <cell r="C188" t="str">
            <v>POR EL SUPATÁ SOÑADO AVANZAMOS JUNTOS EN LA LÍNEA ESTRATÉGICA AMBIENTAL</v>
          </cell>
          <cell r="D188" t="str">
            <v>AMBIENTE</v>
          </cell>
          <cell r="E188" t="str">
            <v>Realizar el calculo de la huella de carbono del palacio municipal</v>
          </cell>
        </row>
        <row r="189">
          <cell r="A189" t="str">
            <v>META-188</v>
          </cell>
          <cell r="B189" t="str">
            <v>202500000009590</v>
          </cell>
          <cell r="C189" t="str">
            <v>POR EL SUPATÁ SOÑADO AVANZAMOS JUNTOS EN LA LÍNEA ESTRATÉGICA AMBIENTAL</v>
          </cell>
          <cell r="D189" t="str">
            <v>AMBIENTE</v>
          </cell>
          <cell r="E189" t="str">
            <v>Adoptar el 50% de las metas de la política de educación ambiental propuesta por las Corporaciones autónomas regionales en cada territorio</v>
          </cell>
        </row>
        <row r="190">
          <cell r="A190" t="str">
            <v>META-189</v>
          </cell>
          <cell r="B190" t="str">
            <v>202500000009590</v>
          </cell>
          <cell r="C190" t="str">
            <v>POR EL SUPATÁ SOÑADO AVANZAMOS JUNTOS EN LA LÍNEA ESTRATÉGICA AMBIENTAL</v>
          </cell>
          <cell r="D190" t="str">
            <v>AMBIENTE</v>
          </cell>
          <cell r="E190" t="str">
            <v>Implementar 4 capacitaciones y/o talleres con estrategias hacia la educación ambiental y sensibilización hacia el cuidado de los recursos hidricos</v>
          </cell>
        </row>
        <row r="191">
          <cell r="A191" t="str">
            <v>META-190</v>
          </cell>
          <cell r="B191" t="str">
            <v>202500000009587</v>
          </cell>
          <cell r="C191" t="str">
            <v>POR EL SUPATÁ SOÑADO AVANZAMOS JUNTOS EN LA LÍNEA ESTRATÉGICA AMBIENTAL</v>
          </cell>
          <cell r="D191" t="str">
            <v>AMBIENTE</v>
          </cell>
          <cell r="E191" t="str">
            <v xml:space="preserve">Implementar la política pública de bienestar animal </v>
          </cell>
        </row>
        <row r="192">
          <cell r="A192" t="str">
            <v>META-191</v>
          </cell>
          <cell r="B192" t="str">
            <v>202500000009587</v>
          </cell>
          <cell r="C192" t="str">
            <v>POR EL SUPATÁ SOÑADO AVANZAMOS JUNTOS EN LA LÍNEA ESTRATÉGICA AMBIENTAL</v>
          </cell>
          <cell r="D192" t="str">
            <v>AMBIENTE</v>
          </cell>
          <cell r="E192" t="str">
            <v>Realizar (4) jornadas de reforestación y cultura ambiental</v>
          </cell>
        </row>
        <row r="193">
          <cell r="A193" t="str">
            <v>META-192</v>
          </cell>
          <cell r="B193" t="str">
            <v>202500000009587</v>
          </cell>
          <cell r="C193" t="str">
            <v>POR EL SUPATÁ SOÑADO AVANZAMOS JUNTOS EN LA LÍNEA ESTRATÉGICA AMBIENTAL</v>
          </cell>
          <cell r="D193" t="str">
            <v>AMBIENTE</v>
          </cell>
          <cell r="E193" t="str">
            <v>Incentivar el pago por servicios ambientales</v>
          </cell>
        </row>
        <row r="194">
          <cell r="A194" t="str">
            <v>META-193</v>
          </cell>
          <cell r="B194" t="str">
            <v>202500000009587</v>
          </cell>
          <cell r="C194" t="str">
            <v>POR EL SUPATÁ SOÑADO AVANZAMOS JUNTOS EN LA LÍNEA ESTRATÉGICA AMBIENTAL</v>
          </cell>
          <cell r="D194" t="str">
            <v>AMBIENTE</v>
          </cell>
          <cell r="E194" t="str">
            <v>Reactivar la junta defensora de animales</v>
          </cell>
        </row>
        <row r="195">
          <cell r="A195" t="str">
            <v>META-194</v>
          </cell>
          <cell r="B195" t="str">
            <v>202500000009587</v>
          </cell>
          <cell r="C195" t="str">
            <v>POR EL SUPATÁ SOÑADO AVANZAMOS JUNTOS EN LA LÍNEA ESTRATÉGICA AMBIENTAL</v>
          </cell>
          <cell r="D195" t="str">
            <v>AMBIENTE</v>
          </cell>
          <cell r="E195" t="str">
            <v>Realizar 4 campañas de prevención de la deforestació, el manejo forestal, seguimiento de reforestación y el aprovechamiento sostenible de los recursos naturales hídricos y forestales.</v>
          </cell>
        </row>
        <row r="196">
          <cell r="A196" t="str">
            <v>META-195</v>
          </cell>
          <cell r="B196" t="str">
            <v>2024257770043</v>
          </cell>
          <cell r="C196" t="str">
            <v>POR EL SUPATÁ SOÑADO AVANZAMOS JUNTOS EN LA LÍNEA ESTRATÉGICA AMBIENTAL</v>
          </cell>
          <cell r="D196" t="str">
            <v>AMBIENTE</v>
          </cell>
          <cell r="E196" t="str">
            <v>Adquirir (1) predio de importancia hídrica</v>
          </cell>
        </row>
        <row r="197">
          <cell r="A197" t="str">
            <v>META-196</v>
          </cell>
          <cell r="B197" t="str">
            <v>2024257770043</v>
          </cell>
          <cell r="C197" t="str">
            <v>POR EL SUPATÁ SOÑADO AVANZAMOS JUNTOS EN LA LÍNEA ESTRATÉGICA AMBIENTAL</v>
          </cell>
          <cell r="D197" t="str">
            <v>AMBIENTE</v>
          </cell>
          <cell r="E197" t="str">
            <v>Adaptar un (1) espacio ecologico en las instituciones educativas para reducir las emisiones de GEI en el municipio.</v>
          </cell>
        </row>
        <row r="198">
          <cell r="A198" t="str">
            <v>META-197</v>
          </cell>
          <cell r="B198" t="str">
            <v>2024257770043</v>
          </cell>
          <cell r="C198" t="str">
            <v>POR EL SUPATÁ SOÑADO AVANZAMOS JUNTOS EN LA LÍNEA ESTRATÉGICA AMBIENTAL</v>
          </cell>
          <cell r="D198" t="str">
            <v>AMBIENTE</v>
          </cell>
          <cell r="E198" t="str">
            <v>Elaborar un (1) Plan de Uso Eficiente y Ahorro del Agua – PUEAA</v>
          </cell>
        </row>
        <row r="199">
          <cell r="A199" t="str">
            <v>META-198</v>
          </cell>
          <cell r="B199" t="str">
            <v>202500000009063</v>
          </cell>
          <cell r="C199" t="str">
            <v>POR EL SUPATÁ SOÑADO AVANZAMOS JUNTOS EN LA LÍNEA ESTRATÉGICA AMBIENTAL</v>
          </cell>
          <cell r="D199" t="str">
            <v>AMBIENTE</v>
          </cell>
          <cell r="E199" t="str">
            <v>apoyar la implementación anual de los proyectos ambientales escolares PRAES</v>
          </cell>
        </row>
      </sheetData>
      <sheetData sheetId="2"/>
      <sheetData sheetId="3"/>
      <sheetData sheetId="4"/>
      <sheetData sheetId="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STRUCCIONES"/>
      <sheetName val="PLAN_DESARROLLO"/>
      <sheetName val="SECRETARIAS"/>
      <sheetName val="LISTAS"/>
      <sheetName val="REGISTRO_AVANCES"/>
    </sheetNames>
    <sheetDataSet>
      <sheetData sheetId="0"/>
      <sheetData sheetId="1">
        <row r="1">
          <cell r="A1" t="str">
            <v>ID_META</v>
          </cell>
          <cell r="B1" t="str">
            <v>BPIM</v>
          </cell>
          <cell r="C1" t="str">
            <v>EJE</v>
          </cell>
          <cell r="D1" t="str">
            <v>SECTOR</v>
          </cell>
          <cell r="E1" t="str">
            <v>META_PRODUCTO</v>
          </cell>
        </row>
        <row r="2">
          <cell r="A2" t="str">
            <v>META-001</v>
          </cell>
          <cell r="B2" t="str">
            <v>2024257770003</v>
          </cell>
          <cell r="C2" t="str">
            <v>POR EL SUPATÁ SOÑADO AVANZAMOS JUNTOS EN LA LÍNEA ESTRATÉGICA SOCIAL</v>
          </cell>
          <cell r="D2" t="str">
            <v>EDUCACION</v>
          </cell>
          <cell r="E2" t="str">
            <v xml:space="preserve">Garantizar el 100% de transporte escolar de estudiantes que su institución educativa más cercana supere los 3 kilómetros de distancia desde la vivienda. </v>
          </cell>
        </row>
        <row r="3">
          <cell r="A3" t="str">
            <v>META-002</v>
          </cell>
          <cell r="B3" t="str">
            <v>2024257770003</v>
          </cell>
          <cell r="C3" t="str">
            <v>POR EL SUPATÁ SOÑADO AVANZAMOS JUNTOS EN LA LÍNEA ESTRATÉGICA SOCIAL</v>
          </cell>
          <cell r="D3" t="str">
            <v>EDUCACION</v>
          </cell>
          <cell r="E3" t="str">
            <v>Garantizar la gratuidad en la educación en el 100% de las Instituciones y sedes Educativas del municipio.</v>
          </cell>
        </row>
        <row r="4">
          <cell r="A4" t="str">
            <v>META-003</v>
          </cell>
          <cell r="B4" t="str">
            <v>2024257770003</v>
          </cell>
          <cell r="C4" t="str">
            <v>POR EL SUPATÁ SOÑADO AVANZAMOS JUNTOS EN LA LÍNEA ESTRATÉGICA SOCIAL</v>
          </cell>
          <cell r="D4" t="str">
            <v>EDUCACION</v>
          </cell>
          <cell r="E4" t="str">
            <v>Mantener la cobertura al 100% y fortalecer el servicio de los estudiantes con el servicio de alimentación escolar</v>
          </cell>
        </row>
        <row r="5">
          <cell r="A5" t="str">
            <v>META-004</v>
          </cell>
          <cell r="B5" t="str">
            <v>2024257770003</v>
          </cell>
          <cell r="C5" t="str">
            <v>POR EL SUPATÁ SOÑADO AVANZAMOS JUNTOS EN LA LÍNEA ESTRATÉGICA SOCIAL</v>
          </cell>
          <cell r="D5" t="str">
            <v>EDUCACION</v>
          </cell>
          <cell r="E5" t="str">
            <v xml:space="preserve">Fortalecer una estrategia extra curricular en fomento del idioma ingles </v>
          </cell>
        </row>
        <row r="6">
          <cell r="A6" t="str">
            <v>META-005</v>
          </cell>
          <cell r="B6" t="str">
            <v>2024257770004</v>
          </cell>
          <cell r="C6" t="str">
            <v>POR EL SUPATÁ SOÑADO AVANZAMOS JUNTOS EN LA LÍNEA ESTRATÉGICA SOCIAL</v>
          </cell>
          <cell r="D6" t="str">
            <v>EDUCACION</v>
          </cell>
          <cell r="E6" t="str">
            <v>Realizar 1 dotación de menaje en restaurante escolar de las diferentes sedes de las instituciones Nuestra Señora de la Salud  y el Imparal.)</v>
          </cell>
        </row>
        <row r="7">
          <cell r="A7" t="str">
            <v>META-006</v>
          </cell>
          <cell r="B7" t="str">
            <v>2024257770004</v>
          </cell>
          <cell r="C7" t="str">
            <v>POR EL SUPATÁ SOÑADO AVANZAMOS JUNTOS EN LA LÍNEA ESTRATÉGICA SOCIAL</v>
          </cell>
          <cell r="D7" t="str">
            <v>EDUCACION</v>
          </cell>
          <cell r="E7" t="str">
            <v xml:space="preserve">Mejoramiento y/o mantenimiento en infraestructura de las instituciones educativas y sus sedes. </v>
          </cell>
        </row>
        <row r="8">
          <cell r="A8" t="str">
            <v>META-007</v>
          </cell>
          <cell r="B8" t="str">
            <v>2024257770005</v>
          </cell>
          <cell r="C8" t="str">
            <v>POR EL SUPATÁ SOÑADO AVANZAMOS JUNTOS EN LA LÍNEA ESTRATÉGICA SOCIAL</v>
          </cell>
          <cell r="D8" t="str">
            <v>EDUCACION</v>
          </cell>
          <cell r="E8" t="str">
            <v xml:space="preserve">Construir 1 Alianza con SENA o instituciones de Educación Superior para oferta educativa </v>
          </cell>
        </row>
        <row r="9">
          <cell r="A9" t="str">
            <v>META-008</v>
          </cell>
          <cell r="B9" t="str">
            <v>2024257770005</v>
          </cell>
          <cell r="C9" t="str">
            <v>POR EL SUPATÁ SOÑADO AVANZAMOS JUNTOS EN LA LÍNEA ESTRATÉGICA SOCIAL</v>
          </cell>
          <cell r="D9" t="str">
            <v>EDUCACION</v>
          </cell>
          <cell r="E9" t="str">
            <v>Realizar un (1) convenio anual con el Servicio Nacional de Aprendizaje –SENA-, para la implementación del Programa de Jóvenes Rurales (SENA Emprende Rural)</v>
          </cell>
        </row>
        <row r="10">
          <cell r="A10" t="str">
            <v>META-009</v>
          </cell>
          <cell r="B10" t="str">
            <v>2024257770005</v>
          </cell>
          <cell r="C10" t="str">
            <v>POR EL SUPATÁ SOÑADO AVANZAMOS JUNTOS EN LA LÍNEA ESTRATÉGICA SOCIAL</v>
          </cell>
          <cell r="D10" t="str">
            <v>EDUCACION</v>
          </cell>
          <cell r="E10" t="str">
            <v>Desarrollo de programa de mejoramiento de la calidad educativa PROMCE en minimo dos de sus componentes</v>
          </cell>
        </row>
        <row r="11">
          <cell r="A11" t="str">
            <v>META-010</v>
          </cell>
          <cell r="B11" t="str">
            <v>2024257770006</v>
          </cell>
          <cell r="C11" t="str">
            <v>POR EL SUPATÁ SOÑADO AVANZAMOS JUNTOS EN LA LÍNEA ESTRATÉGICA SOCIAL</v>
          </cell>
          <cell r="D11" t="str">
            <v>SALUD</v>
          </cell>
          <cell r="E11" t="str">
            <v>Aumentar al 90% la población beneficiada con la Estrategia de APS Municipal</v>
          </cell>
        </row>
        <row r="12">
          <cell r="A12" t="str">
            <v>META-011</v>
          </cell>
          <cell r="B12" t="str">
            <v>2024257770006</v>
          </cell>
          <cell r="C12" t="str">
            <v>POR EL SUPATÁ SOÑADO AVANZAMOS JUNTOS EN LA LÍNEA ESTRATÉGICA SOCIAL</v>
          </cell>
          <cell r="D12" t="str">
            <v>SALUD</v>
          </cell>
          <cell r="E12" t="str">
            <v xml:space="preserve">Implementar un plan de  acción de Participación Social en Salud  del Departamento  </v>
          </cell>
        </row>
        <row r="13">
          <cell r="A13" t="str">
            <v>META-012</v>
          </cell>
          <cell r="B13" t="str">
            <v>2024257770006</v>
          </cell>
          <cell r="C13" t="str">
            <v>POR EL SUPATÁ SOÑADO AVANZAMOS JUNTOS EN LA LÍNEA ESTRATÉGICA SOCIAL</v>
          </cell>
          <cell r="D13" t="str">
            <v>SALUD</v>
          </cell>
          <cell r="E13" t="str">
            <v>Gestionar la realizacion de jornadas de salud en la zona rural del municipio para el fortalecimiento de la atencion en el Nivel Primario, aplicacion de tamizajes y acciones de informacion, que incidan en el mantenimiento de la salud y la deteccion oportuna del riego de enfermedades en la poblacion.</v>
          </cell>
        </row>
        <row r="14">
          <cell r="A14" t="str">
            <v>META-013</v>
          </cell>
          <cell r="B14" t="str">
            <v>2024257770006</v>
          </cell>
          <cell r="C14" t="str">
            <v>POR EL SUPATÁ SOÑADO AVANZAMOS JUNTOS EN LA LÍNEA ESTRATÉGICA SOCIAL</v>
          </cell>
          <cell r="D14" t="str">
            <v>SALUD</v>
          </cell>
          <cell r="E14" t="str">
            <v>Aumentar en un 80% las actividades de educación y canalización del riesgo de enfermedades visuales, bucales y auditividas, a través de la aplicación de instrumentos de APS en las visitas de detección del riesgo en el ámbito familiar; garantizando la atención de la población en el marco de la ruta de promoción y mantenimiento de la salud.</v>
          </cell>
        </row>
        <row r="15">
          <cell r="A15" t="str">
            <v>META-014</v>
          </cell>
          <cell r="B15" t="str">
            <v>2024257770006</v>
          </cell>
          <cell r="C15" t="str">
            <v>POR EL SUPATÁ SOÑADO AVANZAMOS JUNTOS EN LA LÍNEA ESTRATÉGICA SOCIAL</v>
          </cell>
          <cell r="D15" t="str">
            <v>SALUD</v>
          </cell>
          <cell r="E15" t="str">
            <v>Incrementar en un 10% la identificación de personas con riesgo de enfermedad cardiovascular, crónica, nutricional y no transmisibles, a fin  de aumentar la cobertura y atención oportuna.</v>
          </cell>
        </row>
        <row r="16">
          <cell r="A16" t="str">
            <v>META-015</v>
          </cell>
          <cell r="B16" t="str">
            <v>2024257770006</v>
          </cell>
          <cell r="C16" t="str">
            <v>POR EL SUPATÁ SOÑADO AVANZAMOS JUNTOS EN LA LÍNEA ESTRATÉGICA SOCIAL</v>
          </cell>
          <cell r="D16" t="str">
            <v>SALUD</v>
          </cell>
          <cell r="E16" t="str">
            <v>Construcción de 1 política pública en salud mental.</v>
          </cell>
        </row>
        <row r="17">
          <cell r="A17" t="str">
            <v>META-016</v>
          </cell>
          <cell r="B17" t="str">
            <v>2024257770006</v>
          </cell>
          <cell r="C17" t="str">
            <v>POR EL SUPATÁ SOÑADO AVANZAMOS JUNTOS EN LA LÍNEA ESTRATÉGICA SOCIAL</v>
          </cell>
          <cell r="D17" t="str">
            <v>SALUD</v>
          </cell>
          <cell r="E17" t="str">
            <v>Generar planes de prevencion para reducir la incidencia de violencia basadas en genero y hechos de violencia intrafamiliar; asi como el consumo y la oferta de sustancias psicoactivas - SPA, en el marco de la promocion de la salud mental.</v>
          </cell>
        </row>
        <row r="18">
          <cell r="A18" t="str">
            <v>META-017</v>
          </cell>
          <cell r="B18" t="str">
            <v>2024257770006</v>
          </cell>
          <cell r="C18" t="str">
            <v>POR EL SUPATÁ SOÑADO AVANZAMOS JUNTOS EN LA LÍNEA ESTRATÉGICA SOCIAL</v>
          </cell>
          <cell r="D18" t="str">
            <v>SALUD</v>
          </cell>
          <cell r="E18" t="str">
            <v>Mantener la mortalidad evitable en cero para poblacion infantil y las maternas del municipio de Supata, a traves del seguimiento al 100% de menores de 5 años y gestantes con alto riesgo por malnutricion y otras condiciones.</v>
          </cell>
        </row>
        <row r="19">
          <cell r="A19" t="str">
            <v>META-018</v>
          </cell>
          <cell r="B19" t="str">
            <v>2024257770006</v>
          </cell>
          <cell r="C19" t="str">
            <v>POR EL SUPATÁ SOÑADO AVANZAMOS JUNTOS EN LA LÍNEA ESTRATÉGICA SOCIAL</v>
          </cell>
          <cell r="D19" t="str">
            <v>SALUD</v>
          </cell>
          <cell r="E19" t="str">
            <v>Adoptar en un 90% la Política Pública Departamental de Seguridad Alimentaria y Nutricional</v>
          </cell>
        </row>
        <row r="20">
          <cell r="A20" t="str">
            <v>META-019</v>
          </cell>
          <cell r="B20" t="str">
            <v>2024257770006</v>
          </cell>
          <cell r="C20" t="str">
            <v>POR EL SUPATÁ SOÑADO AVANZAMOS JUNTOS EN LA LÍNEA ESTRATÉGICA SOCIAL</v>
          </cell>
          <cell r="D20" t="str">
            <v>SALUD</v>
          </cell>
          <cell r="E20" t="str">
            <v xml:space="preserve">Promover que el  95% de las mujeres gestantes del municipio tengan  4 o más controles prenatales, en el marco de la Ruta de Atención Integral Materno Perinatal </v>
          </cell>
        </row>
        <row r="21">
          <cell r="A21" t="str">
            <v>META-020</v>
          </cell>
          <cell r="B21" t="str">
            <v>2024257770006</v>
          </cell>
          <cell r="C21" t="str">
            <v>POR EL SUPATÁ SOÑADO AVANZAMOS JUNTOS EN LA LÍNEA ESTRATÉGICA SOCIAL</v>
          </cell>
          <cell r="D21" t="str">
            <v>SALUD</v>
          </cell>
          <cell r="E21" t="str">
            <v>Implementar y adoptar al 100% la ruta de atencion integral para victimas de violencias de genero.</v>
          </cell>
        </row>
        <row r="22">
          <cell r="A22" t="str">
            <v>META-021</v>
          </cell>
          <cell r="B22" t="str">
            <v>2024257770006</v>
          </cell>
          <cell r="C22" t="str">
            <v>POR EL SUPATÁ SOÑADO AVANZAMOS JUNTOS EN LA LÍNEA ESTRATÉGICA SOCIAL</v>
          </cell>
          <cell r="D22" t="str">
            <v>SALUD</v>
          </cell>
          <cell r="E22" t="str">
            <v xml:space="preserve">Alcanzar  al 80%  de las familias con estrategias de prevención y cuidado adecuado de enfermedades transmitidas por vía aérea o de contacto directo (IRA, TUBERCULOSIS; HANSEN, COVID 19) desde un enfoque comunitario. </v>
          </cell>
        </row>
        <row r="23">
          <cell r="A23" t="str">
            <v>META-022</v>
          </cell>
          <cell r="B23" t="str">
            <v>2024257770006</v>
          </cell>
          <cell r="C23" t="str">
            <v>POR EL SUPATÁ SOÑADO AVANZAMOS JUNTOS EN LA LÍNEA ESTRATÉGICA SOCIAL</v>
          </cell>
          <cell r="D23" t="str">
            <v>SALUD</v>
          </cell>
          <cell r="E23" t="str">
            <v xml:space="preserve">realizar 4 Jornadas anuales de vacunación extramurales que nos permitan llegar a toda la población del territorio y así aumentar cobertura de vacunación. </v>
          </cell>
        </row>
        <row r="24">
          <cell r="A24" t="str">
            <v>META-023</v>
          </cell>
          <cell r="B24" t="str">
            <v>2024257770006</v>
          </cell>
          <cell r="C24" t="str">
            <v>POR EL SUPATÁ SOÑADO AVANZAMOS JUNTOS EN LA LÍNEA ESTRATÉGICA SOCIAL</v>
          </cell>
          <cell r="D24" t="str">
            <v>SALUD</v>
          </cell>
          <cell r="E24" t="str">
            <v xml:space="preserve">Generar estrategias para la promoción de los Estilos, modos y condiciones saludables en el entorno laboral </v>
          </cell>
        </row>
        <row r="25">
          <cell r="A25" t="str">
            <v>META-024</v>
          </cell>
          <cell r="B25" t="str">
            <v>2024257770006</v>
          </cell>
          <cell r="C25" t="str">
            <v>POR EL SUPATÁ SOÑADO AVANZAMOS JUNTOS EN LA LÍNEA ESTRATÉGICA SOCIAL</v>
          </cell>
          <cell r="D25" t="str">
            <v>SALUD</v>
          </cell>
          <cell r="E25" t="str">
            <v xml:space="preserve">Implementar en un 100% la estrategia AIEPI, para el desarrollo integral de los niños y niñas del municipio. </v>
          </cell>
        </row>
        <row r="26">
          <cell r="A26" t="str">
            <v>META-025</v>
          </cell>
          <cell r="B26" t="str">
            <v>2024257770006</v>
          </cell>
          <cell r="C26" t="str">
            <v>POR EL SUPATÁ SOÑADO AVANZAMOS JUNTOS EN LA LÍNEA ESTRATÉGICA SOCIAL</v>
          </cell>
          <cell r="D26" t="str">
            <v>SALUD</v>
          </cell>
          <cell r="E26" t="str">
            <v>Adoptar y  adaptar en un 100%  la política pública desdelas acciones  SALUD e envejecimiento y vejez  departamental conforme a los lineamientos y desarrollos técnicos definidos por el Ministerio de Salud y Protección Social.</v>
          </cell>
        </row>
        <row r="27">
          <cell r="A27" t="str">
            <v>META-026</v>
          </cell>
          <cell r="B27" t="str">
            <v>2024257770006</v>
          </cell>
          <cell r="C27" t="str">
            <v>POR EL SUPATÁ SOÑADO AVANZAMOS JUNTOS EN LA LÍNEA ESTRATÉGICA SOCIAL</v>
          </cell>
          <cell r="D27" t="str">
            <v>SALUD</v>
          </cell>
          <cell r="E27" t="str">
            <v xml:space="preserve">Implementar las acciones correspondientes a la garantia de acceso salud descritas en la  Política Pública Municipal de Discapacidad  de los territorios rurales,  rurales dispersos y urbanos del municipio </v>
          </cell>
        </row>
        <row r="28">
          <cell r="A28" t="str">
            <v>META-027</v>
          </cell>
          <cell r="B28" t="str">
            <v>2024257770006</v>
          </cell>
          <cell r="C28" t="str">
            <v>POR EL SUPATÁ SOÑADO AVANZAMOS JUNTOS EN LA LÍNEA ESTRATÉGICA SOCIAL</v>
          </cell>
          <cell r="D28" t="str">
            <v>SALUD</v>
          </cell>
          <cell r="E28" t="str">
            <v>Garantizar el desarrollo en un  100% de los  Sistemas de  información y vigilancia epidemiológica del municipio.</v>
          </cell>
        </row>
        <row r="29">
          <cell r="A29" t="str">
            <v>META-028</v>
          </cell>
          <cell r="B29" t="str">
            <v>2024257770006</v>
          </cell>
          <cell r="C29" t="str">
            <v>POR EL SUPATÁ SOÑADO AVANZAMOS JUNTOS EN LA LÍNEA ESTRATÉGICA SOCIAL</v>
          </cell>
          <cell r="D29" t="str">
            <v>SALUD</v>
          </cell>
          <cell r="E29" t="str">
            <v>Fortalecer el programa de seguridad de riesgos laborales y salud en el trabajo</v>
          </cell>
        </row>
        <row r="30">
          <cell r="A30" t="str">
            <v>META-029</v>
          </cell>
          <cell r="B30" t="str">
            <v>2024257770007</v>
          </cell>
          <cell r="C30" t="str">
            <v>POR EL SUPATÁ SOÑADO AVANZAMOS JUNTOS EN LA LÍNEA ESTRATÉGICA SOCIAL</v>
          </cell>
          <cell r="D30" t="str">
            <v>SALUD</v>
          </cell>
          <cell r="E30" t="str">
            <v>Gestionar un centro de atención primario en salud rural</v>
          </cell>
        </row>
        <row r="31">
          <cell r="A31" t="str">
            <v>META-030</v>
          </cell>
          <cell r="B31" t="str">
            <v>2024257770007</v>
          </cell>
          <cell r="C31" t="str">
            <v>POR EL SUPATÁ SOÑADO AVANZAMOS JUNTOS EN LA LÍNEA ESTRATÉGICA SOCIAL</v>
          </cell>
          <cell r="D31" t="str">
            <v>SALUD</v>
          </cell>
          <cell r="E31" t="str">
            <v>Garantizar la operatividad de los programas en salud</v>
          </cell>
        </row>
        <row r="32">
          <cell r="A32" t="str">
            <v>META-031</v>
          </cell>
          <cell r="B32" t="str">
            <v>2024257770007</v>
          </cell>
          <cell r="C32" t="str">
            <v>POR EL SUPATÁ SOÑADO AVANZAMOS JUNTOS EN LA LÍNEA ESTRATÉGICA SOCIAL</v>
          </cell>
          <cell r="D32" t="str">
            <v>SALUD</v>
          </cell>
          <cell r="E32" t="str">
            <v>Garantizar el acceso a la salud para población vinculada al régimen  Subsidiado</v>
          </cell>
        </row>
        <row r="33">
          <cell r="A33" t="str">
            <v>META-032</v>
          </cell>
          <cell r="B33" t="str">
            <v>202500000008110</v>
          </cell>
          <cell r="C33" t="str">
            <v>POR EL SUPATÁ SOÑADO AVANZAMOS JUNTOS EN LA LÍNEA ESTRATÉGICA SOCIAL</v>
          </cell>
          <cell r="D33" t="str">
            <v>SALUD</v>
          </cell>
          <cell r="E33" t="str">
            <v xml:space="preserve">Garantizar  el seguimiento al 100% de las EPS e IPS Presentes en el municipio, para la garantía de la calidad de los servicios de salud </v>
          </cell>
        </row>
        <row r="34">
          <cell r="A34" t="str">
            <v>META-033</v>
          </cell>
          <cell r="B34" t="str">
            <v>2024257770009</v>
          </cell>
          <cell r="C34" t="str">
            <v>POR EL SUPATÁ SOÑADO AVANZAMOS JUNTOS EN LA LÍNEA ESTRATÉGICA SOCIAL</v>
          </cell>
          <cell r="D34" t="str">
            <v>CULTURA</v>
          </cell>
          <cell r="E34" t="str">
            <v>Mantener las 3 escuelas de formacion cultural durante el cuatrenio</v>
          </cell>
        </row>
        <row r="35">
          <cell r="A35" t="str">
            <v>META-034</v>
          </cell>
          <cell r="B35" t="str">
            <v>2024257770009</v>
          </cell>
          <cell r="C35" t="str">
            <v>POR EL SUPATÁ SOÑADO AVANZAMOS JUNTOS EN LA LÍNEA ESTRATÉGICA SOCIAL</v>
          </cell>
          <cell r="D35" t="str">
            <v>CULTURA</v>
          </cell>
          <cell r="E35" t="str">
            <v>Realizar (4) Dotaciones a las escuelas de formación cultural</v>
          </cell>
        </row>
        <row r="36">
          <cell r="A36" t="str">
            <v>META-035</v>
          </cell>
          <cell r="B36" t="str">
            <v>2024257770009</v>
          </cell>
          <cell r="C36" t="str">
            <v>POR EL SUPATÁ SOÑADO AVANZAMOS JUNTOS EN LA LÍNEA ESTRATÉGICA SOCIAL</v>
          </cell>
          <cell r="D36" t="str">
            <v>CULTURA</v>
          </cell>
          <cell r="E36" t="str">
            <v>Organizar 4 eventos artísticos y culturales anualmente</v>
          </cell>
        </row>
        <row r="37">
          <cell r="A37" t="str">
            <v>META-036</v>
          </cell>
          <cell r="B37" t="str">
            <v>2024257770009</v>
          </cell>
          <cell r="C37" t="str">
            <v>POR EL SUPATÁ SOÑADO AVANZAMOS JUNTOS EN LA LÍNEA ESTRATÉGICA SOCIAL</v>
          </cell>
          <cell r="D37" t="str">
            <v>CULTURA</v>
          </cell>
          <cell r="E37" t="str">
            <v>Realizar apoyo y/o Dotación en la ludoteca municipal en materiales lúdico-pedagógicos.</v>
          </cell>
        </row>
        <row r="38">
          <cell r="A38" t="str">
            <v>META-037</v>
          </cell>
          <cell r="B38" t="str">
            <v>2024257770009</v>
          </cell>
          <cell r="C38" t="str">
            <v>POR EL SUPATÁ SOÑADO AVANZAMOS JUNTOS EN LA LÍNEA ESTRATÉGICA SOCIAL</v>
          </cell>
          <cell r="D38" t="str">
            <v>CULTURA</v>
          </cell>
          <cell r="E38" t="str">
            <v>Realizar mantenimientos y/o adecuaciones de los escenarios culturales del municipio.</v>
          </cell>
        </row>
        <row r="39">
          <cell r="A39" t="str">
            <v>META-038</v>
          </cell>
          <cell r="B39" t="str">
            <v>2024257770009</v>
          </cell>
          <cell r="C39" t="str">
            <v>POR EL SUPATÁ SOÑADO AVANZAMOS JUNTOS EN LA LÍNEA ESTRATÉGICA SOCIAL</v>
          </cell>
          <cell r="D39" t="str">
            <v>CULTURA</v>
          </cell>
          <cell r="E39" t="str">
            <v>Garantizar el correcto funcionamiento anual de la biblioteca municipal</v>
          </cell>
        </row>
        <row r="40">
          <cell r="A40" t="str">
            <v>META-039</v>
          </cell>
          <cell r="B40" t="str">
            <v>2024257770009</v>
          </cell>
          <cell r="C40" t="str">
            <v>POR EL SUPATÁ SOÑADO AVANZAMOS JUNTOS EN LA LÍNEA ESTRATÉGICA SOCIAL</v>
          </cell>
          <cell r="D40" t="str">
            <v>CULTURA</v>
          </cell>
          <cell r="E40" t="str">
            <v xml:space="preserve">Reconocimiento y dignificación de los gestores culturales y artistas locales. 
</v>
          </cell>
        </row>
        <row r="41">
          <cell r="A41" t="str">
            <v>META-040</v>
          </cell>
          <cell r="B41" t="str">
            <v>2024257770010</v>
          </cell>
          <cell r="C41" t="str">
            <v>POR EL SUPATÁ SOÑADO AVANZAMOS JUNTOS EN LA LÍNEA ESTRATÉGICA SOCIAL</v>
          </cell>
          <cell r="D41" t="str">
            <v>RECREACION Y DEPROTE</v>
          </cell>
          <cell r="E41" t="str">
            <v>Mantener las 4 escuelas de formacion deportiva y recreativa  en el municipio</v>
          </cell>
        </row>
        <row r="42">
          <cell r="A42" t="str">
            <v>META-041</v>
          </cell>
          <cell r="B42" t="str">
            <v>2024257770010</v>
          </cell>
          <cell r="C42" t="str">
            <v>POR EL SUPATÁ SOÑADO AVANZAMOS JUNTOS EN LA LÍNEA ESTRATÉGICA SOCIAL</v>
          </cell>
          <cell r="D42" t="str">
            <v>RECREACION Y DEPROTE</v>
          </cell>
          <cell r="E42" t="str">
            <v>Implementar  una (1) escuela de formación deportiva en la zona rural.</v>
          </cell>
        </row>
        <row r="43">
          <cell r="A43" t="str">
            <v>META-042</v>
          </cell>
          <cell r="B43" t="str">
            <v>2024257770010</v>
          </cell>
          <cell r="C43" t="str">
            <v>POR EL SUPATÁ SOÑADO AVANZAMOS JUNTOS EN LA LÍNEA ESTRATÉGICA SOCIAL</v>
          </cell>
          <cell r="D43" t="str">
            <v>RECREACION Y DEPROTE</v>
          </cell>
          <cell r="E43" t="str">
            <v>Mejorar y mantener  3 escenarios recreo-deportivos  del municipio, durante el periodo de gobierno.</v>
          </cell>
        </row>
        <row r="44">
          <cell r="A44" t="str">
            <v>META-043</v>
          </cell>
          <cell r="B44" t="str">
            <v>2024257770010</v>
          </cell>
          <cell r="C44" t="str">
            <v>POR EL SUPATÁ SOÑADO AVANZAMOS JUNTOS EN LA LÍNEA ESTRATÉGICA SOCIAL</v>
          </cell>
          <cell r="D44" t="str">
            <v>RECREACION Y DEPROTE</v>
          </cell>
          <cell r="E44" t="str">
            <v>Realizar 7 eventos deportivos y/o recreativos en el municipio</v>
          </cell>
        </row>
        <row r="45">
          <cell r="A45" t="str">
            <v>META-044</v>
          </cell>
          <cell r="B45" t="str">
            <v>2024257770010</v>
          </cell>
          <cell r="C45" t="str">
            <v>POR EL SUPATÁ SOÑADO AVANZAMOS JUNTOS EN LA LÍNEA ESTRATÉGICA SOCIAL</v>
          </cell>
          <cell r="D45" t="str">
            <v>RECREACION Y DEPROTE</v>
          </cell>
          <cell r="E45" t="str">
            <v>Servicio de organización de eventos recreativos comunitarios</v>
          </cell>
        </row>
        <row r="46">
          <cell r="A46" t="str">
            <v>META-045</v>
          </cell>
          <cell r="B46" t="str">
            <v>2024257770010</v>
          </cell>
          <cell r="C46" t="str">
            <v>POR EL SUPATÁ SOÑADO AVANZAMOS JUNTOS EN LA LÍNEA ESTRATÉGICA SOCIAL</v>
          </cell>
          <cell r="D46" t="str">
            <v>RECREACION Y DEPROTE</v>
          </cell>
          <cell r="E46" t="str">
            <v>Realizar dotacion de implementos deportivos para la formacion deportiva y recreativa</v>
          </cell>
        </row>
        <row r="47">
          <cell r="A47" t="str">
            <v>META-046</v>
          </cell>
          <cell r="B47" t="str">
            <v>2024257770010</v>
          </cell>
          <cell r="C47" t="str">
            <v>POR EL SUPATÁ SOÑADO AVANZAMOS JUNTOS EN LA LÍNEA ESTRATÉGICA SOCIAL</v>
          </cell>
          <cell r="D47" t="str">
            <v>RECREACION Y DEPROTE</v>
          </cell>
          <cell r="E47" t="str">
            <v>Realizar 2 estudios y diseños para infraestructura deportiva y recreativa en el municipio</v>
          </cell>
        </row>
        <row r="48">
          <cell r="A48" t="str">
            <v>META-047</v>
          </cell>
          <cell r="B48" t="str">
            <v>2024257770011</v>
          </cell>
          <cell r="C48" t="str">
            <v>POR EL SUPATÁ SOÑADO AVANZAMOS JUNTOS EN LA LÍNEA ESTRATÉGICA SOCIAL</v>
          </cell>
          <cell r="D48" t="str">
            <v>POBLACIÓN VULNERABLE - VCA</v>
          </cell>
          <cell r="E48" t="str">
            <v xml:space="preserve">Realizar anualmente los tramites pertinentes para ayuda humanitaria </v>
          </cell>
        </row>
        <row r="49">
          <cell r="A49" t="str">
            <v>META-048</v>
          </cell>
          <cell r="B49" t="str">
            <v>2024257770011</v>
          </cell>
          <cell r="C49" t="str">
            <v>POR EL SUPATÁ SOÑADO AVANZAMOS JUNTOS EN LA LÍNEA ESTRATÉGICA SOCIAL</v>
          </cell>
          <cell r="D49" t="str">
            <v>POBLACIÓN VULNERABLE - VCA</v>
          </cell>
          <cell r="E49" t="str">
            <v xml:space="preserve">Garantizar 4 mesas  tecnicas municipales de participacion de victimas </v>
          </cell>
        </row>
        <row r="50">
          <cell r="A50" t="str">
            <v>META-049</v>
          </cell>
          <cell r="B50" t="str">
            <v>2024257770011</v>
          </cell>
          <cell r="C50" t="str">
            <v>POR EL SUPATÁ SOÑADO AVANZAMOS JUNTOS EN LA LÍNEA ESTRATÉGICA SOCIAL</v>
          </cell>
          <cell r="D50" t="str">
            <v>POBLACIÓN VULNERABLE - VCA</v>
          </cell>
          <cell r="E50" t="str">
            <v xml:space="preserve">Orotgar 1 Auxilios funerarios a población víctima </v>
          </cell>
        </row>
        <row r="51">
          <cell r="A51" t="str">
            <v>META-050</v>
          </cell>
          <cell r="B51" t="str">
            <v>2024257770011</v>
          </cell>
          <cell r="C51" t="str">
            <v>POR EL SUPATÁ SOÑADO AVANZAMOS JUNTOS EN LA LÍNEA ESTRATÉGICA SOCIAL</v>
          </cell>
          <cell r="D51" t="str">
            <v>POBLACIÓN VULNERABLE - VCA</v>
          </cell>
          <cell r="E51" t="str">
            <v>Elaborar la politica publica de victimas local ($0)</v>
          </cell>
        </row>
        <row r="52">
          <cell r="A52" t="str">
            <v>META-051</v>
          </cell>
          <cell r="B52" t="str">
            <v>2024257770011</v>
          </cell>
          <cell r="C52" t="str">
            <v>POR EL SUPATÁ SOÑADO AVANZAMOS JUNTOS EN LA LÍNEA ESTRATÉGICA SOCIAL</v>
          </cell>
          <cell r="D52" t="str">
            <v>POBLACIÓN VULNERABLE - VCA</v>
          </cell>
          <cell r="E52" t="str">
            <v xml:space="preserve">Realizar 4 proyectos productivos para la generación de ingresos victima del conflicto armado </v>
          </cell>
        </row>
        <row r="53">
          <cell r="A53" t="str">
            <v>META-052</v>
          </cell>
          <cell r="B53" t="str">
            <v>2024257770011</v>
          </cell>
          <cell r="C53" t="str">
            <v>POR EL SUPATÁ SOÑADO AVANZAMOS JUNTOS EN LA LÍNEA ESTRATÉGICA SOCIAL</v>
          </cell>
          <cell r="D53" t="str">
            <v>POBLACIÓN VULNERABLE - VCA</v>
          </cell>
          <cell r="E53" t="str">
            <v>Realizar 2 jornadas de caracterizacion municipal de victimas $0</v>
          </cell>
        </row>
        <row r="54">
          <cell r="A54" t="str">
            <v>META-053</v>
          </cell>
          <cell r="B54" t="str">
            <v>2024257770011</v>
          </cell>
          <cell r="C54" t="str">
            <v>POR EL SUPATÁ SOÑADO AVANZAMOS JUNTOS EN LA LÍNEA ESTRATÉGICA SOCIAL</v>
          </cell>
          <cell r="D54" t="str">
            <v>POBLACIÓN VULNERABLE - VCA</v>
          </cell>
          <cell r="E54" t="str">
            <v xml:space="preserve">Conmemoracion del dia nacional de la memoria y la solidaridad con las victimas </v>
          </cell>
        </row>
        <row r="55">
          <cell r="A55" t="str">
            <v>META-054</v>
          </cell>
          <cell r="B55" t="str">
            <v>2024257770012</v>
          </cell>
          <cell r="C55" t="str">
            <v>POR EL SUPATÁ SOÑADO AVANZAMOS JUNTOS EN LA LÍNEA ESTRATÉGICA SOCIAL</v>
          </cell>
          <cell r="D55" t="str">
            <v>POBLACIÓN VULNERABLE - CAPITULO PRIMERA INFANCIA, INFANCIA, ADOLESCENCIA Y JUVENTUD</v>
          </cell>
          <cell r="E55" t="str">
            <v>Realizar cuatro (4) campañas de educación sexual y derechos reproductivos a los adolescentes y jovenes del municipio</v>
          </cell>
        </row>
        <row r="56">
          <cell r="A56" t="str">
            <v>META-055</v>
          </cell>
          <cell r="B56" t="str">
            <v>2024257770012</v>
          </cell>
          <cell r="C56" t="str">
            <v>POR EL SUPATÁ SOÑADO AVANZAMOS JUNTOS EN LA LÍNEA ESTRATÉGICA SOCIAL</v>
          </cell>
          <cell r="D56" t="str">
            <v>POBLACIÓN VULNERABLE - CAPITULO PRIMERA INFANCIA, INFANCIA, ADOLESCENCIA Y JUVENTUD</v>
          </cell>
          <cell r="E56" t="str">
            <v>Realizar cuatro (4) campañas de prevencion de embarazado en mujeres adolescentes</v>
          </cell>
        </row>
        <row r="57">
          <cell r="A57" t="str">
            <v>META-056</v>
          </cell>
          <cell r="B57" t="str">
            <v>2024257770012</v>
          </cell>
          <cell r="C57" t="str">
            <v>POR EL SUPATÁ SOÑADO AVANZAMOS JUNTOS EN LA LÍNEA ESTRATÉGICA SOCIAL</v>
          </cell>
          <cell r="D57" t="str">
            <v>POBLACIÓN VULNERABLE - CAPITULO PRIMERA INFANCIA, INFANCIA, ADOLESCENCIA Y JUVENTUD</v>
          </cell>
        </row>
        <row r="58">
          <cell r="A58" t="str">
            <v>META-057</v>
          </cell>
          <cell r="B58" t="str">
            <v>2024257770012</v>
          </cell>
          <cell r="C58" t="str">
            <v>POR EL SUPATÁ SOÑADO AVANZAMOS JUNTOS EN LA LÍNEA ESTRATÉGICA SOCIAL</v>
          </cell>
          <cell r="D58" t="str">
            <v>POBLACIÓN VULNERABLE - CAPITULO PRIMERA INFANCIA, INFANCIA, ADOLESCENCIA Y JUVENTUD</v>
          </cell>
          <cell r="E58" t="str">
            <v>Realizar cuatro (4) talleres en reconocimiento de los derechos de niños, niñas y adolescentes</v>
          </cell>
        </row>
        <row r="59">
          <cell r="A59" t="str">
            <v>META-058</v>
          </cell>
          <cell r="B59" t="str">
            <v>2024257770012</v>
          </cell>
          <cell r="C59" t="str">
            <v>POR EL SUPATÁ SOÑADO AVANZAMOS JUNTOS EN LA LÍNEA ESTRATÉGICA SOCIAL</v>
          </cell>
          <cell r="D59" t="str">
            <v>POBLACIÓN VULNERABLE - CAPITULO PRIMERA INFANCIA, INFANCIA, ADOLESCENCIA Y JUVENTUD</v>
          </cell>
          <cell r="E59" t="str">
            <v>Realizar cuatro (4) campañas para la proteccioón y prevención del maltrato infantil</v>
          </cell>
        </row>
        <row r="60">
          <cell r="A60" t="str">
            <v>META-059</v>
          </cell>
          <cell r="B60" t="str">
            <v>2024257770012</v>
          </cell>
          <cell r="C60" t="str">
            <v>POR EL SUPATÁ SOÑADO AVANZAMOS JUNTOS EN LA LÍNEA ESTRATÉGICA SOCIAL</v>
          </cell>
          <cell r="D60" t="str">
            <v>POBLACIÓN VULNERABLE - CAPITULO PRIMERA INFANCIA, INFANCIA, ADOLESCENCIA Y JUVENTUD</v>
          </cell>
          <cell r="E60" t="str">
            <v>Realizar dotacion en material pedagógico para los programas de atención de primera infancia</v>
          </cell>
        </row>
        <row r="61">
          <cell r="A61" t="str">
            <v>META-060</v>
          </cell>
          <cell r="B61" t="str">
            <v>2024257770012</v>
          </cell>
          <cell r="C61" t="str">
            <v>POR EL SUPATÁ SOÑADO AVANZAMOS JUNTOS EN LA LÍNEA ESTRATÉGICA SOCIAL</v>
          </cell>
          <cell r="D61" t="str">
            <v>POBLACIÓN VULNERABLE - CAPITULO PRIMERA INFANCIA, INFANCIA, ADOLESCENCIA Y JUVENTUD</v>
          </cell>
          <cell r="E61" t="str">
            <v>Realizar cuatro (4) campañas para el fortalecimiento familiar en el municipio</v>
          </cell>
        </row>
        <row r="62">
          <cell r="A62" t="str">
            <v>META-061</v>
          </cell>
          <cell r="B62" t="str">
            <v>2024257770012</v>
          </cell>
          <cell r="C62" t="str">
            <v>POR EL SUPATÁ SOÑADO AVANZAMOS JUNTOS EN LA LÍNEA ESTRATÉGICA SOCIAL</v>
          </cell>
          <cell r="D62" t="str">
            <v>POBLACIÓN VULNERABLE - CAPITULO PRIMERA INFANCIA, INFANCIA, ADOLESCENCIA Y JUVENTUD</v>
          </cell>
          <cell r="E62" t="str">
            <v>Realizar las acciones necesarias para el aumento de 1 unidad o cupos en la atención del programa “Educación Rural Dispersa”. (VERIFICAR SI ES META DE PRIMERA INFANCIA)</v>
          </cell>
        </row>
        <row r="63">
          <cell r="A63" t="str">
            <v>META-062</v>
          </cell>
          <cell r="B63" t="str">
            <v>2024257770012</v>
          </cell>
          <cell r="C63" t="str">
            <v>POR EL SUPATÁ SOÑADO AVANZAMOS JUNTOS EN LA LÍNEA ESTRATÉGICA SOCIAL</v>
          </cell>
          <cell r="D63" t="str">
            <v>POBLACIÓN VULNERABLE - CAPITULO PRIMERA INFANCIA, INFANCIA, ADOLESCENCIA Y JUVENTUD</v>
          </cell>
          <cell r="E63" t="str">
            <v>Realizar campañas anuales para la prevención de la conducta suicida, en niños, niñas, adolescentes y jovenes</v>
          </cell>
        </row>
        <row r="64">
          <cell r="A64" t="str">
            <v>META-063</v>
          </cell>
          <cell r="B64" t="str">
            <v>2024257770012</v>
          </cell>
          <cell r="C64" t="str">
            <v>POR EL SUPATÁ SOÑADO AVANZAMOS JUNTOS EN LA LÍNEA ESTRATÉGICA SOCIAL</v>
          </cell>
          <cell r="D64" t="str">
            <v>POBLACIÓN VULNERABLE - CAPITULO PRIMERA INFANCIA, INFANCIA, ADOLESCENCIA Y JUVENTUD</v>
          </cell>
          <cell r="E64" t="str">
            <v>Mantener a 100 niños de 0 a 5 años en establecimientos de educación inicial</v>
          </cell>
        </row>
        <row r="65">
          <cell r="A65" t="str">
            <v>META-064</v>
          </cell>
          <cell r="B65" t="str">
            <v>2024257770012</v>
          </cell>
          <cell r="C65" t="str">
            <v>POR EL SUPATÁ SOÑADO AVANZAMOS JUNTOS EN LA LÍNEA ESTRATÉGICA SOCIAL</v>
          </cell>
          <cell r="D65" t="str">
            <v>POBLACIÓN VULNERABLE - CAPITULO PRIMERA INFANCIA, INFANCIA, ADOLESCENCIA Y JUVENTUD</v>
          </cell>
          <cell r="E65" t="str">
            <v>Implementar un programa de apoyo integral a la juventud</v>
          </cell>
        </row>
        <row r="66">
          <cell r="A66" t="str">
            <v>META-065</v>
          </cell>
          <cell r="B66" t="str">
            <v>2024257770013</v>
          </cell>
          <cell r="C66" t="str">
            <v>POR EL SUPATÁ SOÑADO AVANZAMOS JUNTOS EN LA LÍNEA ESTRATÉGICA SOCIAL</v>
          </cell>
          <cell r="D66" t="str">
            <v>POBLACIÓN VULNERABLE- CAPITULO MUJER Y GENERO</v>
          </cell>
          <cell r="E66" t="str">
            <v>Construcción de (1)  centro de innovación empresarial casa social de la mujer.</v>
          </cell>
        </row>
        <row r="67">
          <cell r="A67" t="str">
            <v>META-066</v>
          </cell>
          <cell r="B67" t="str">
            <v>2024257770013</v>
          </cell>
          <cell r="C67" t="str">
            <v>POR EL SUPATÁ SOÑADO AVANZAMOS JUNTOS EN LA LÍNEA ESTRATÉGICA SOCIAL</v>
          </cell>
          <cell r="D67" t="str">
            <v>POBLACIÓN VULNERABLE- CAPITULO MUJER Y GENERO</v>
          </cell>
          <cell r="E67" t="str">
            <v>Realizar anualmente mecanismos para la articulacion, actualización, reactivación y seguimiento de las actividades del Consejo Consultivo de Mujeres, como instancia de representación de sus necesidades e interés</v>
          </cell>
        </row>
        <row r="68">
          <cell r="A68" t="str">
            <v>META-067</v>
          </cell>
          <cell r="B68" t="str">
            <v>2024257770014</v>
          </cell>
          <cell r="C68" t="str">
            <v>POR EL SUPATÁ SOÑADO AVANZAMOS JUNTOS EN LA LÍNEA ESTRATÉGICA SOCIAL</v>
          </cell>
          <cell r="D68" t="str">
            <v>POBLACIÓN VULNERABLE - CAPITULO ADULTO MAYOR</v>
          </cell>
          <cell r="E68" t="str">
            <v>Mentener el Programa Centro Día Urbano y rural para el beneficio</v>
          </cell>
        </row>
        <row r="69">
          <cell r="A69" t="str">
            <v>META-068</v>
          </cell>
          <cell r="B69" t="str">
            <v>2024257770014</v>
          </cell>
          <cell r="C69" t="str">
            <v>POR EL SUPATÁ SOÑADO AVANZAMOS JUNTOS EN LA LÍNEA ESTRATÉGICA SOCIAL</v>
          </cell>
          <cell r="D69" t="str">
            <v>POBLACIÓN VULNERABLE - CAPITULO ADULTO MAYOR</v>
          </cell>
          <cell r="E69" t="str">
            <v>Garantizar la atención integral e institucional de adultos mayores con vulnerabilidad social en el centro de bienestar del adulto mayor "Maria Auxiliadora".</v>
          </cell>
        </row>
        <row r="70">
          <cell r="A70" t="str">
            <v>META-069</v>
          </cell>
          <cell r="B70" t="str">
            <v>2024257770014</v>
          </cell>
          <cell r="C70" t="str">
            <v>POR EL SUPATÁ SOÑADO AVANZAMOS JUNTOS EN LA LÍNEA ESTRATÉGICA SOCIAL</v>
          </cell>
          <cell r="D70" t="str">
            <v>POBLACIÓN VULNERABLE - CAPITULO ADULTO MAYOR</v>
          </cell>
          <cell r="E70" t="str">
            <v>Implementar anualmente la estrategia Rehabilitacion basada en comunidad RBC con la población Adulto Mayor</v>
          </cell>
        </row>
        <row r="71">
          <cell r="A71" t="str">
            <v>META-070</v>
          </cell>
          <cell r="B71" t="str">
            <v>2024257770014</v>
          </cell>
          <cell r="C71" t="str">
            <v>POR EL SUPATÁ SOÑADO AVANZAMOS JUNTOS EN LA LÍNEA ESTRATÉGICA SOCIAL</v>
          </cell>
          <cell r="D71" t="str">
            <v>POBLACIÓN VULNERABLE - CAPITULO ADULTO MAYOR</v>
          </cell>
          <cell r="E71" t="str">
            <v>Realizar 1 Dotación Centro día.</v>
          </cell>
        </row>
        <row r="72">
          <cell r="A72" t="str">
            <v>META-071</v>
          </cell>
          <cell r="B72" t="str">
            <v>2024257770014</v>
          </cell>
          <cell r="C72" t="str">
            <v>POR EL SUPATÁ SOÑADO AVANZAMOS JUNTOS EN LA LÍNEA ESTRATÉGICA SOCIAL</v>
          </cell>
          <cell r="D72" t="str">
            <v>POBLACIÓN VULNERABLE - CAPITULO ADULTO MAYOR</v>
          </cell>
          <cell r="E72" t="str">
            <v>Realizar 4 jornadas de certificación para acceso a subsidios de discapacidad.</v>
          </cell>
        </row>
        <row r="73">
          <cell r="A73" t="str">
            <v>META-072</v>
          </cell>
          <cell r="B73" t="str">
            <v>2024257770014</v>
          </cell>
          <cell r="C73" t="str">
            <v>POR EL SUPATÁ SOÑADO AVANZAMOS JUNTOS EN LA LÍNEA ESTRATÉGICA SOCIAL</v>
          </cell>
          <cell r="D73" t="str">
            <v>POBLACIÓN VULNERABLE - CAPITULO ADULTO MAYOR</v>
          </cell>
          <cell r="E73" t="str">
            <v xml:space="preserve">Mantener anualmente  atencion en el Centro de Vida Sensorial </v>
          </cell>
        </row>
        <row r="74">
          <cell r="A74" t="str">
            <v>META-073</v>
          </cell>
          <cell r="B74" t="str">
            <v>2024257770014</v>
          </cell>
          <cell r="C74" t="str">
            <v>POR EL SUPATÁ SOÑADO AVANZAMOS JUNTOS EN LA LÍNEA ESTRATÉGICA SOCIAL</v>
          </cell>
          <cell r="D74" t="str">
            <v>POBLACIÓN VULNERABLE - CAPITULO ADULTO MAYOR</v>
          </cell>
          <cell r="E74" t="str">
            <v>Celebrar anualmente el día Blanco</v>
          </cell>
        </row>
        <row r="75">
          <cell r="A75" t="str">
            <v>META-074</v>
          </cell>
          <cell r="B75" t="str">
            <v>2024257770014</v>
          </cell>
          <cell r="C75" t="str">
            <v>POR EL SUPATÁ SOÑADO AVANZAMOS JUNTOS EN LA LÍNEA ESTRATÉGICA SOCIAL</v>
          </cell>
          <cell r="D75" t="str">
            <v>POBLACIÓN VULNERABLE - CAPITULO ADULTO MAYOR</v>
          </cell>
          <cell r="E75" t="str">
            <v>Implementar anualmente la estrategia Rehabilitacion basada en comunidad RBC con la población con discapacidad</v>
          </cell>
        </row>
        <row r="76">
          <cell r="A76" t="str">
            <v>META-075</v>
          </cell>
          <cell r="B76" t="str">
            <v>2024257770014</v>
          </cell>
          <cell r="C76" t="str">
            <v>POR EL SUPATÁ SOÑADO AVANZAMOS JUNTOS EN LA LÍNEA ESTRATÉGICA SOCIAL</v>
          </cell>
          <cell r="D76" t="str">
            <v>POBLACIÓN VULNERABLE - CAPITULO ADULTO MAYOR</v>
          </cell>
          <cell r="E76" t="str">
            <v>Realizar 1 Actualizacion de la politica publica de discapacidad</v>
          </cell>
        </row>
        <row r="77">
          <cell r="A77" t="str">
            <v>META-076</v>
          </cell>
          <cell r="B77" t="str">
            <v>2024257770015</v>
          </cell>
          <cell r="C77" t="str">
            <v>POR EL SUPATÁ SOÑADO AVANZAMOS JUNTOS EN LA LÍNEA ESTRATÉGICA SOCIAL</v>
          </cell>
          <cell r="D77" t="str">
            <v>VIVIENDA, CIUDAD Y TERRITORIO-  POBLACIÓN EN CONDICIÓN DE DISCAPACIDAD</v>
          </cell>
          <cell r="E77" t="str">
            <v>Implementar un proyecto para la construcción de vivienda de interés social o de intéres prioritario.</v>
          </cell>
        </row>
        <row r="78">
          <cell r="A78" t="str">
            <v>META-077</v>
          </cell>
          <cell r="B78" t="str">
            <v>2024257770015</v>
          </cell>
          <cell r="C78" t="str">
            <v>POR EL SUPATÁ SOÑADO AVANZAMOS JUNTOS EN LA LÍNEA ESTRATÉGICA SOCIAL</v>
          </cell>
          <cell r="D78" t="str">
            <v>VIVIENDA, CIUDAD Y TERRITORIO-  POBLACIÓN EN CONDICIÓN DE DISCAPACIDAD</v>
          </cell>
          <cell r="E78" t="str">
            <v>Brindar anualmente un (1) apoyo juridico a la población para otorgar titulación de predios.</v>
          </cell>
        </row>
        <row r="79">
          <cell r="A79" t="str">
            <v>META-078</v>
          </cell>
          <cell r="B79" t="str">
            <v>2024257770015</v>
          </cell>
          <cell r="C79" t="str">
            <v>POR EL SUPATÁ SOÑADO AVANZAMOS JUNTOS EN LA LÍNEA ESTRATÉGICA SOCIAL</v>
          </cell>
          <cell r="D79" t="str">
            <v>VIVIENDA, CIUDAD Y TERRITORIO-  POBLACIÓN EN CONDICIÓN DE DISCAPACIDAD</v>
          </cell>
          <cell r="E79" t="str">
            <v>Beneficiar a 50 familias en condición de vulnerabilidad con el mejoramiento de unidad habitacional, pisos, cocina, baños y techos del sector rural</v>
          </cell>
        </row>
        <row r="80">
          <cell r="A80" t="str">
            <v>META-079</v>
          </cell>
          <cell r="B80" t="str">
            <v>2024257770016</v>
          </cell>
          <cell r="C80" t="str">
            <v>POR EL SUPATÁ SOÑADO AVANZAMOS JUNTOS EN LA LÍNEA ESTRATÉGICA SOCIAL</v>
          </cell>
          <cell r="D80" t="str">
            <v>VIVIENDA, CIUDAD Y TERRITORIO</v>
          </cell>
          <cell r="E80" t="str">
            <v>Fortalecer  administrativa y logística anualmente el Consejo Territorial de Planeación para su funcionamiento. (pendiente fortalecimiento institucional cambio de sector)</v>
          </cell>
        </row>
        <row r="81">
          <cell r="A81" t="str">
            <v>META-080</v>
          </cell>
          <cell r="B81" t="str">
            <v>2024257770016</v>
          </cell>
          <cell r="C81" t="str">
            <v>POR EL SUPATÁ SOÑADO AVANZAMOS JUNTOS EN LA LÍNEA ESTRATÉGICA SOCIAL</v>
          </cell>
          <cell r="D81" t="str">
            <v>VIVIENDA, CIUDAD Y TERRITORIO</v>
          </cell>
          <cell r="E81" t="str">
            <v>Adecuación y mantenimiento de la plaza de ferias municipal</v>
          </cell>
        </row>
        <row r="82">
          <cell r="A82" t="str">
            <v>META-081</v>
          </cell>
          <cell r="B82" t="str">
            <v>2024257770016</v>
          </cell>
          <cell r="C82" t="str">
            <v>POR EL SUPATÁ SOÑADO AVANZAMOS JUNTOS EN LA LÍNEA ESTRATÉGICA SOCIAL</v>
          </cell>
          <cell r="D82" t="str">
            <v>VIVIENDA, CIUDAD Y TERRITORIO</v>
          </cell>
          <cell r="E82" t="str">
            <v>Realizar 2 mantenimientos a la plaza de mercado</v>
          </cell>
        </row>
        <row r="83">
          <cell r="A83" t="str">
            <v>META-082</v>
          </cell>
          <cell r="B83" t="str">
            <v>2024257770016</v>
          </cell>
          <cell r="C83" t="str">
            <v>POR EL SUPATÁ SOÑADO AVANZAMOS JUNTOS EN LA LÍNEA ESTRATÉGICA SOCIAL</v>
          </cell>
          <cell r="D83" t="str">
            <v>VIVIENDA, CIUDAD Y TERRITORIO</v>
          </cell>
          <cell r="E83" t="str">
            <v>Implementar  el programa anual  de Banco de Materiales que une esfuerzos entre la administración municipal y la comunidad para la realización de obras necesarias y de gran impacto social en barrios y veredas.</v>
          </cell>
        </row>
        <row r="84">
          <cell r="A84" t="str">
            <v>META-083</v>
          </cell>
          <cell r="B84" t="str">
            <v>2024257770016</v>
          </cell>
          <cell r="C84" t="str">
            <v>POR EL SUPATÁ SOÑADO AVANZAMOS JUNTOS EN LA LÍNEA ESTRATÉGICA SOCIAL</v>
          </cell>
          <cell r="D84" t="str">
            <v>VIVIENDA, CIUDAD Y TERRITORIO</v>
          </cell>
          <cell r="E84" t="str">
            <v>Implementar  un programa  de mantenimiento de espacio público,  zonas verdes y  parques del municipio</v>
          </cell>
        </row>
        <row r="85">
          <cell r="A85" t="str">
            <v>META-084</v>
          </cell>
          <cell r="B85" t="str">
            <v>2024257770016</v>
          </cell>
          <cell r="C85" t="str">
            <v>POR EL SUPATÁ SOÑADO AVANZAMOS JUNTOS EN LA LÍNEA ESTRATÉGICA SOCIAL</v>
          </cell>
          <cell r="D85" t="str">
            <v>VIVIENDA, CIUDAD Y TERRITORIO</v>
          </cell>
          <cell r="E85" t="str">
            <v>Construir, mejorar y adecuar los andenes, pasamanos y escaleras en diversos sectores del casco urbano y centros poblados del municipio.</v>
          </cell>
        </row>
        <row r="86">
          <cell r="A86" t="str">
            <v>META-085</v>
          </cell>
          <cell r="B86" t="str">
            <v>2024257770016</v>
          </cell>
          <cell r="C86" t="str">
            <v>POR EL SUPATÁ SOÑADO AVANZAMOS JUNTOS EN LA LÍNEA ESTRATÉGICA SOCIAL</v>
          </cell>
          <cell r="D86" t="str">
            <v>VIVIENDA, CIUDAD Y TERRITORIO</v>
          </cell>
          <cell r="E86" t="str">
            <v>Estudios y diseños para la construcción de la casa de gobierno</v>
          </cell>
        </row>
        <row r="87">
          <cell r="A87" t="str">
            <v>META-086</v>
          </cell>
          <cell r="B87" t="str">
            <v>2024257770017</v>
          </cell>
          <cell r="C87" t="str">
            <v>POR EL SUPATÁ SOÑADO AVANZAMOS JUNTOS EN LA LÍNEA ESTRATÉGICA SOCIAL</v>
          </cell>
          <cell r="D87" t="str">
            <v>A.P.S.B</v>
          </cell>
          <cell r="E87" t="str">
            <v xml:space="preserve">Realizar 1 optimizacion a la  planta de tratamiento de agua potable </v>
          </cell>
        </row>
        <row r="88">
          <cell r="A88" t="str">
            <v>META-087</v>
          </cell>
          <cell r="B88" t="str">
            <v>2024257770017</v>
          </cell>
          <cell r="C88" t="str">
            <v>POR EL SUPATÁ SOÑADO AVANZAMOS JUNTOS EN LA LÍNEA ESTRATÉGICA SOCIAL</v>
          </cell>
          <cell r="D88" t="str">
            <v>A.P.S.B</v>
          </cell>
          <cell r="E88" t="str">
            <v>Otorgar  anualmente subsidios a los usuarios de los servicios de acueducto, de los estratos 1, 2 y 3 del área urbana,en el cuatrienio</v>
          </cell>
        </row>
        <row r="89">
          <cell r="A89" t="str">
            <v>META-088</v>
          </cell>
          <cell r="B89" t="str">
            <v>2024257770017</v>
          </cell>
          <cell r="C89" t="str">
            <v>POR EL SUPATÁ SOÑADO AVANZAMOS JUNTOS EN LA LÍNEA ESTRATÉGICA SOCIAL</v>
          </cell>
          <cell r="D89" t="str">
            <v>A.P.S.B</v>
          </cell>
          <cell r="E89" t="str">
            <v xml:space="preserve">Realizar optimizaciones a los acueductos veredales </v>
          </cell>
        </row>
        <row r="90">
          <cell r="A90" t="str">
            <v>META-089</v>
          </cell>
          <cell r="B90" t="str">
            <v>2024257770017</v>
          </cell>
          <cell r="C90" t="str">
            <v>POR EL SUPATÁ SOÑADO AVANZAMOS JUNTOS EN LA LÍNEA ESTRATÉGICA SOCIAL</v>
          </cell>
          <cell r="D90" t="str">
            <v>A.P.S.B</v>
          </cell>
          <cell r="E90" t="str">
            <v>Realizar la construcción de 200 metros lineales de red de acueducto en el municipio</v>
          </cell>
        </row>
        <row r="91">
          <cell r="A91" t="str">
            <v>META-090</v>
          </cell>
          <cell r="B91" t="str">
            <v>2024257770017</v>
          </cell>
          <cell r="C91" t="str">
            <v>POR EL SUPATÁ SOÑADO AVANZAMOS JUNTOS EN LA LÍNEA ESTRATÉGICA SOCIAL</v>
          </cell>
          <cell r="D91" t="str">
            <v>A.P.S.B</v>
          </cell>
          <cell r="E91" t="str">
            <v>Transferir anualmente al Plan Departamental de Aguas            -PDA- los recursos comprometidos a través de Acuerdo Municipal en el cuatrienio.</v>
          </cell>
        </row>
        <row r="92">
          <cell r="A92" t="str">
            <v>META-091</v>
          </cell>
          <cell r="B92" t="str">
            <v>2024257770017</v>
          </cell>
          <cell r="C92" t="str">
            <v>POR EL SUPATÁ SOÑADO AVANZAMOS JUNTOS EN LA LÍNEA ESTRATÉGICA SOCIAL</v>
          </cell>
          <cell r="D92" t="str">
            <v>A.P.S.B</v>
          </cell>
          <cell r="E92" t="str">
            <v>Realizar anulmente doce (12)  analisis de calidad del agua de acuerdo a la resolucion 2115 de 2007</v>
          </cell>
        </row>
        <row r="93">
          <cell r="A93" t="str">
            <v>META-092</v>
          </cell>
          <cell r="B93" t="str">
            <v>2024257770017</v>
          </cell>
          <cell r="C93" t="str">
            <v>POR EL SUPATÁ SOÑADO AVANZAMOS JUNTOS EN LA LÍNEA ESTRATÉGICA SOCIAL</v>
          </cell>
          <cell r="D93" t="str">
            <v>A.P.S.B</v>
          </cell>
          <cell r="E93" t="str">
            <v>elaborar el programa de Uso Eficiente y Ahorro del Agua (PUEAA) en el municipio durante el cuatrienio</v>
          </cell>
        </row>
        <row r="94">
          <cell r="A94" t="str">
            <v>META-093</v>
          </cell>
          <cell r="B94" t="str">
            <v>2024257770017</v>
          </cell>
          <cell r="C94" t="str">
            <v>POR EL SUPATÁ SOÑADO AVANZAMOS JUNTOS EN LA LÍNEA ESTRATÉGICA SOCIAL</v>
          </cell>
          <cell r="D94" t="str">
            <v>A.P.S.B</v>
          </cell>
          <cell r="E94" t="str">
            <v xml:space="preserve">Acompañamiento para la legalizacion de acueductos veredales con requisitos minimos </v>
          </cell>
        </row>
        <row r="95">
          <cell r="A95" t="str">
            <v>META-094</v>
          </cell>
          <cell r="B95" t="str">
            <v>2024257770017</v>
          </cell>
          <cell r="C95" t="str">
            <v>POR EL SUPATÁ SOÑADO AVANZAMOS JUNTOS EN LA LÍNEA ESTRATÉGICA SOCIAL</v>
          </cell>
          <cell r="D95" t="str">
            <v>A.P.S.B</v>
          </cell>
          <cell r="E95" t="str">
            <v xml:space="preserve">implementacion de un programa de micromedicion en el area urbana </v>
          </cell>
        </row>
        <row r="96">
          <cell r="A96" t="str">
            <v>META-095</v>
          </cell>
          <cell r="B96" t="str">
            <v>2024257770017</v>
          </cell>
          <cell r="C96" t="str">
            <v>POR EL SUPATÁ SOÑADO AVANZAMOS JUNTOS EN LA LÍNEA ESTRATÉGICA SOCIAL</v>
          </cell>
          <cell r="D96" t="str">
            <v>A.P.S.B</v>
          </cell>
          <cell r="E96" t="str">
            <v>Realizar anulmente el fortalecimiento para el reporte de la informacion de las entidades de control</v>
          </cell>
        </row>
        <row r="97">
          <cell r="A97" t="str">
            <v>META-096</v>
          </cell>
          <cell r="B97" t="str">
            <v>2024257770017</v>
          </cell>
          <cell r="C97" t="str">
            <v>POR EL SUPATÁ SOÑADO AVANZAMOS JUNTOS EN LA LÍNEA ESTRATÉGICA SOCIAL</v>
          </cell>
          <cell r="D97" t="str">
            <v>A.P.S.B</v>
          </cell>
          <cell r="E97" t="str">
            <v xml:space="preserve">Actualizar el Plan de Saneamiento y Manejo de Vertimientos (PSMV) </v>
          </cell>
        </row>
        <row r="98">
          <cell r="A98" t="str">
            <v>META-097</v>
          </cell>
          <cell r="B98" t="str">
            <v>2024257770017</v>
          </cell>
          <cell r="C98" t="str">
            <v>POR EL SUPATÁ SOÑADO AVANZAMOS JUNTOS EN LA LÍNEA ESTRATÉGICA SOCIAL</v>
          </cell>
          <cell r="D98" t="str">
            <v>A.P.S.B</v>
          </cell>
          <cell r="E98" t="str">
            <v>gestionar la ejecución el Plan Maestro de Acueducto y Alcantarillado</v>
          </cell>
        </row>
        <row r="99">
          <cell r="A99" t="str">
            <v>META-098</v>
          </cell>
          <cell r="B99" t="str">
            <v>2024257770017</v>
          </cell>
          <cell r="C99" t="str">
            <v>POR EL SUPATÁ SOÑADO AVANZAMOS JUNTOS EN LA LÍNEA ESTRATÉGICA SOCIAL</v>
          </cell>
          <cell r="D99" t="str">
            <v>A.P.S.B</v>
          </cell>
          <cell r="E99" t="str">
            <v>Otorgar  anualmente subsidios a los usuarios del servicio de alcantarillado de los estratos 1, 2 y 3 del área urbana,en el cuatrienio</v>
          </cell>
        </row>
        <row r="100">
          <cell r="A100" t="str">
            <v>META-099</v>
          </cell>
          <cell r="B100" t="str">
            <v>2024257770017</v>
          </cell>
          <cell r="C100" t="str">
            <v>POR EL SUPATÁ SOÑADO AVANZAMOS JUNTOS EN LA LÍNEA ESTRATÉGICA SOCIAL</v>
          </cell>
          <cell r="D100" t="str">
            <v>A.P.S.B</v>
          </cell>
          <cell r="E100" t="str">
            <v>Mejoramiento de la planta de tratamiento de aguas residuales -PTAR- del Municipio</v>
          </cell>
        </row>
        <row r="101">
          <cell r="A101" t="str">
            <v>META-100</v>
          </cell>
          <cell r="B101" t="str">
            <v>2024257770017</v>
          </cell>
          <cell r="C101" t="str">
            <v>POR EL SUPATÁ SOÑADO AVANZAMOS JUNTOS EN LA LÍNEA ESTRATÉGICA SOCIAL</v>
          </cell>
          <cell r="D101" t="str">
            <v>A.P.S.B</v>
          </cell>
          <cell r="E101" t="str">
            <v xml:space="preserve">Realizar mejoramiento al alcantarillado sanitario y pluvial </v>
          </cell>
        </row>
        <row r="102">
          <cell r="A102" t="str">
            <v>META-101</v>
          </cell>
          <cell r="B102" t="str">
            <v>2024257770017</v>
          </cell>
          <cell r="C102" t="str">
            <v>POR EL SUPATÁ SOÑADO AVANZAMOS JUNTOS EN LA LÍNEA ESTRATÉGICA SOCIAL</v>
          </cell>
          <cell r="D102" t="str">
            <v>A.P.S.B</v>
          </cell>
          <cell r="E102" t="str">
            <v>Implementar el Plan de gestión integral de residuos sólidos (PGIRS) del municipio en el marco de la Resolución No. 754 de 2014 , la Política Nacional para la Gestión Integral de Residuos Sólidos – CONPES 3874 de 2016, y la Resolución 2184 de 2019, en el cuatrenio</v>
          </cell>
        </row>
        <row r="103">
          <cell r="A103" t="str">
            <v>META-102</v>
          </cell>
          <cell r="B103" t="str">
            <v>2024257770017</v>
          </cell>
          <cell r="C103" t="str">
            <v>POR EL SUPATÁ SOÑADO AVANZAMOS JUNTOS EN LA LÍNEA ESTRATÉGICA SOCIAL</v>
          </cell>
          <cell r="D103" t="str">
            <v>A.P.S.B</v>
          </cell>
          <cell r="E103" t="str">
            <v>Otorgar  anualmente subsidios a los usuarios del servicio de  aseo  de los estratos 1, 2 y 3 del área urbana,en el cuatrienio</v>
          </cell>
        </row>
        <row r="104">
          <cell r="A104" t="str">
            <v>META-103</v>
          </cell>
          <cell r="B104" t="str">
            <v>202500000008261</v>
          </cell>
          <cell r="C104" t="str">
            <v>POR EL SUPATÁ SOÑADO AVANZAMOS JUNTOS EN LA LÍNEA ESTRATÉGICA ECONÓMICA</v>
          </cell>
          <cell r="D104" t="str">
            <v>TECNOLOGIAS DE LA INFORMACIÓN Y LAS COMUNICACIONES</v>
          </cell>
          <cell r="E104" t="str">
            <v>Mantener anualmente una persona calificada para Implementar la estrategia de Gobierno Digital</v>
          </cell>
        </row>
        <row r="105">
          <cell r="A105" t="str">
            <v>META-104</v>
          </cell>
          <cell r="B105" t="str">
            <v>202500000008261</v>
          </cell>
          <cell r="C105" t="str">
            <v>POR EL SUPATÁ SOÑADO AVANZAMOS JUNTOS EN LA LÍNEA ESTRATÉGICA ECONÓMICA</v>
          </cell>
          <cell r="D105" t="str">
            <v>TECNOLOGIAS DE LA INFORMACIÓN Y LAS COMUNICACIONES</v>
          </cell>
          <cell r="E105" t="str">
            <v xml:space="preserve">Realizar 2 dotaciones de software, dotación tecnológica, sonido para eventos   y equipos de altavoz </v>
          </cell>
        </row>
        <row r="106">
          <cell r="A106" t="str">
            <v>META-105</v>
          </cell>
          <cell r="B106" t="str">
            <v>202500000008261</v>
          </cell>
          <cell r="C106" t="str">
            <v>POR EL SUPATÁ SOÑADO AVANZAMOS JUNTOS EN LA LÍNEA ESTRATÉGICA ECONÓMICA</v>
          </cell>
          <cell r="D106" t="str">
            <v>TECNOLOGIAS DE LA INFORMACIÓN Y LAS COMUNICACIONES</v>
          </cell>
          <cell r="E106" t="str">
            <v>Realizar anualmente 4 actualizaciones a la página web del municipio con el objetivo de cumplir anualmente con el informe ITA de la Procuraduría General de la Nación</v>
          </cell>
        </row>
        <row r="107">
          <cell r="A107" t="str">
            <v>META-106</v>
          </cell>
          <cell r="B107" t="str">
            <v>202500000008863</v>
          </cell>
          <cell r="C107" t="str">
            <v>POR EL SUPATÁ SOÑADO AVANZAMOS JUNTOS EN LA LÍNEA ESTRATÉGICA ECONÓMICA</v>
          </cell>
          <cell r="D107" t="str">
            <v>TECNOLOGIAS DE LA INFORMACIÓN Y LAS COMUNICACIONES</v>
          </cell>
          <cell r="E107" t="str">
            <v>Realizar anualmente la Implementación de trámites y servicios en línea</v>
          </cell>
        </row>
        <row r="108">
          <cell r="A108" t="str">
            <v>META-107</v>
          </cell>
          <cell r="B108" t="str">
            <v>202500000008863</v>
          </cell>
          <cell r="C108" t="str">
            <v>POR EL SUPATÁ SOÑADO AVANZAMOS JUNTOS EN LA LÍNEA ESTRATÉGICA ECONÓMICA</v>
          </cell>
          <cell r="D108" t="str">
            <v>TECNOLOGIAS DE LA INFORMACIÓN Y LAS COMUNICACIONES</v>
          </cell>
          <cell r="E108" t="str">
            <v>Realizar 4 capacitaciones sobre la importancia de Gobierno Digital y  de las TICS</v>
          </cell>
        </row>
        <row r="109">
          <cell r="A109" t="str">
            <v>META-108</v>
          </cell>
          <cell r="B109" t="str">
            <v>2024257770020</v>
          </cell>
          <cell r="C109" t="str">
            <v>POR EL SUPATÁ SOÑADO AVANZAMOS JUNTOS EN LA LÍNEA ESTRATÉGICA ECONÓMICA</v>
          </cell>
          <cell r="D109" t="str">
            <v>TURISMO</v>
          </cell>
          <cell r="E109" t="str">
            <v>Realizar la construccion de 1 mirador turistico</v>
          </cell>
        </row>
        <row r="110">
          <cell r="A110" t="str">
            <v>META-109</v>
          </cell>
          <cell r="B110" t="str">
            <v>2024257770020</v>
          </cell>
          <cell r="C110" t="str">
            <v>POR EL SUPATÁ SOÑADO AVANZAMOS JUNTOS EN LA LÍNEA ESTRATÉGICA ECONÓMICA</v>
          </cell>
          <cell r="D110" t="str">
            <v>TURISMO</v>
          </cell>
          <cell r="E110" t="str">
            <v>Elaborar el plan turistico del municipio</v>
          </cell>
        </row>
        <row r="111">
          <cell r="A111" t="str">
            <v>META-110</v>
          </cell>
          <cell r="B111" t="str">
            <v>2024257770020</v>
          </cell>
          <cell r="C111" t="str">
            <v>POR EL SUPATÁ SOÑADO AVANZAMOS JUNTOS EN LA LÍNEA ESTRATÉGICA ECONÓMICA</v>
          </cell>
          <cell r="D111" t="str">
            <v>TURISMO</v>
          </cell>
          <cell r="E111" t="str">
            <v>Realizar 4 capacitaciones a los operadores sobre servicios turisticos</v>
          </cell>
        </row>
        <row r="112">
          <cell r="A112" t="str">
            <v>META-111</v>
          </cell>
          <cell r="B112" t="str">
            <v>2024257770020</v>
          </cell>
          <cell r="C112" t="str">
            <v>POR EL SUPATÁ SOÑADO AVANZAMOS JUNTOS EN LA LÍNEA ESTRATÉGICA ECONÓMICA</v>
          </cell>
          <cell r="D112" t="str">
            <v>TURISMO</v>
          </cell>
          <cell r="E112" t="str">
            <v>Brindar anualmente apoyo a iniciativas de proyectos turísticos</v>
          </cell>
        </row>
        <row r="113">
          <cell r="A113" t="str">
            <v>META-112</v>
          </cell>
          <cell r="B113" t="str">
            <v>2024257770020</v>
          </cell>
          <cell r="C113" t="str">
            <v>POR EL SUPATÁ SOÑADO AVANZAMOS JUNTOS EN LA LÍNEA ESTRATÉGICA ECONÓMICA</v>
          </cell>
          <cell r="D113" t="str">
            <v>TURISMO</v>
          </cell>
          <cell r="E113" t="str">
            <v>Realizar eventos turísticas para que se admire la  riqueza ecoturista y agroturista</v>
          </cell>
        </row>
        <row r="114">
          <cell r="A114" t="str">
            <v>META-113</v>
          </cell>
          <cell r="B114" t="str">
            <v>2024257770020</v>
          </cell>
          <cell r="C114" t="str">
            <v>POR EL SUPATÁ SOÑADO AVANZAMOS JUNTOS EN LA LÍNEA ESTRATÉGICA ECONÓMICA</v>
          </cell>
          <cell r="D114" t="str">
            <v>TURISMO</v>
          </cell>
          <cell r="E114" t="str">
            <v>Realizar anualmente alianzas turisticas con entidades de orden nacional, departamental y de cooperacion internacional</v>
          </cell>
        </row>
        <row r="115">
          <cell r="A115" t="str">
            <v>META-114</v>
          </cell>
          <cell r="B115" t="str">
            <v>2024257770020</v>
          </cell>
          <cell r="C115" t="str">
            <v>POR EL SUPATÁ SOÑADO AVANZAMOS JUNTOS EN LA LÍNEA ESTRATÉGICA ECONÓMICA</v>
          </cell>
          <cell r="D115" t="str">
            <v>TURISMO</v>
          </cell>
          <cell r="E115" t="str">
            <v xml:space="preserve">Implementar una campaña de estrategia para la promoción del turismo religioso </v>
          </cell>
        </row>
        <row r="116">
          <cell r="A116" t="str">
            <v>META-115</v>
          </cell>
          <cell r="B116" t="str">
            <v>2024257770020</v>
          </cell>
          <cell r="C116" t="str">
            <v>POR EL SUPATÁ SOÑADO AVANZAMOS JUNTOS EN LA LÍNEA ESTRATÉGICA ECONÓMICA</v>
          </cell>
          <cell r="D116" t="str">
            <v>TURISMO</v>
          </cell>
          <cell r="E116" t="str">
            <v>gestionar proyectos para buscar apoyo en  mantenimiento, mejorameinto o construccion a zonas naturales de uso turístico</v>
          </cell>
        </row>
        <row r="117">
          <cell r="A117" t="str">
            <v>META-116</v>
          </cell>
          <cell r="B117" t="str">
            <v>2024257770020</v>
          </cell>
          <cell r="C117" t="str">
            <v>POR EL SUPATÁ SOÑADO AVANZAMOS JUNTOS EN LA LÍNEA ESTRATÉGICA ECONÓMICA</v>
          </cell>
          <cell r="D117" t="str">
            <v>TURISMO</v>
          </cell>
          <cell r="E117" t="str">
            <v>Apoyar anualmente la asociatividad productiva y comercial en el municipio</v>
          </cell>
        </row>
        <row r="118">
          <cell r="A118" t="str">
            <v>META-117</v>
          </cell>
          <cell r="B118" t="str">
            <v>2024257770021</v>
          </cell>
          <cell r="C118" t="str">
            <v>POR EL SUPATÁ SOÑADO AVANZAMOS JUNTOS EN LA LÍNEA ESTRATÉGICA ECONÓMICA</v>
          </cell>
          <cell r="D118" t="str">
            <v>TRANSPORTE</v>
          </cell>
          <cell r="E118" t="str">
            <v>Realizar mantenimiento rutinario de 50 Km de vías rurales del municipio (cuneteando, conformando, afirmado y compactado, según la necesidad) en el cuatrienio</v>
          </cell>
        </row>
        <row r="119">
          <cell r="A119" t="str">
            <v>META-118</v>
          </cell>
          <cell r="B119" t="str">
            <v>2024257770021</v>
          </cell>
          <cell r="C119" t="str">
            <v>POR EL SUPATÁ SOÑADO AVANZAMOS JUNTOS EN LA LÍNEA ESTRATÉGICA ECONÓMICA</v>
          </cell>
          <cell r="D119" t="str">
            <v>TRANSPORTE</v>
          </cell>
          <cell r="E119" t="str">
            <v>Realizar el mejoramiento, adecuación de vías en la zona rural a través de la construcción de 1.000 ML de placa huellas en concreto o pavimentación, en el cuatrienio</v>
          </cell>
        </row>
        <row r="120">
          <cell r="A120" t="str">
            <v>META-119</v>
          </cell>
          <cell r="B120" t="str">
            <v>2024257770021</v>
          </cell>
          <cell r="C120" t="str">
            <v>POR EL SUPATÁ SOÑADO AVANZAMOS JUNTOS EN LA LÍNEA ESTRATÉGICA ECONÓMICA</v>
          </cell>
          <cell r="D120" t="str">
            <v>TRANSPORTE</v>
          </cell>
          <cell r="E120" t="str">
            <v>Construir  10 obras de arte para el mantenimiento y mejoramiento de la red terciaria del municipio, durante el cuatrienio</v>
          </cell>
        </row>
        <row r="121">
          <cell r="A121" t="str">
            <v>META-120</v>
          </cell>
          <cell r="B121" t="str">
            <v>2024257770021</v>
          </cell>
          <cell r="C121" t="str">
            <v>POR EL SUPATÁ SOÑADO AVANZAMOS JUNTOS EN LA LÍNEA ESTRATÉGICA ECONÓMICA</v>
          </cell>
          <cell r="D121" t="str">
            <v>TRANSPORTE</v>
          </cell>
          <cell r="E121" t="str">
            <v xml:space="preserve">Adquirir maquinaria amarilla </v>
          </cell>
        </row>
        <row r="122">
          <cell r="A122" t="str">
            <v>META-121</v>
          </cell>
          <cell r="B122" t="str">
            <v>2024257770021</v>
          </cell>
          <cell r="C122" t="str">
            <v>POR EL SUPATÁ SOÑADO AVANZAMOS JUNTOS EN LA LÍNEA ESTRATÉGICA ECONÓMICA</v>
          </cell>
          <cell r="D122" t="str">
            <v>TRANSPORTE</v>
          </cell>
          <cell r="E122" t="str">
            <v>Realizar 3 mantenimientos a la maquinaria amarilla propiedad del municipio</v>
          </cell>
        </row>
        <row r="123">
          <cell r="A123" t="str">
            <v>META-122</v>
          </cell>
          <cell r="B123" t="str">
            <v>2024257770021</v>
          </cell>
          <cell r="C123" t="str">
            <v>POR EL SUPATÁ SOÑADO AVANZAMOS JUNTOS EN LA LÍNEA ESTRATÉGICA ECONÓMICA</v>
          </cell>
          <cell r="D123" t="str">
            <v>TRANSPORTE</v>
          </cell>
          <cell r="E123" t="str">
            <v>Realizar la apertura de 2 km de vías terciarias dentro del municipio</v>
          </cell>
        </row>
        <row r="124">
          <cell r="A124" t="str">
            <v>META-123</v>
          </cell>
          <cell r="B124" t="str">
            <v>2024257770021</v>
          </cell>
          <cell r="C124" t="str">
            <v>POR EL SUPATÁ SOÑADO AVANZAMOS JUNTOS EN LA LÍNEA ESTRATÉGICA ECONÓMICA</v>
          </cell>
          <cell r="D124" t="str">
            <v>TRANSPORTE</v>
          </cell>
          <cell r="E124" t="str">
            <v>Realizar el mantenimiento,  rehabilitación  y adecuación  de 100 ML de vías en la zona urbana del municipio, en el periodo de gobierno</v>
          </cell>
        </row>
        <row r="125">
          <cell r="A125" t="str">
            <v>META-124</v>
          </cell>
          <cell r="B125" t="str">
            <v>2024257770021</v>
          </cell>
          <cell r="C125" t="str">
            <v>POR EL SUPATÁ SOÑADO AVANZAMOS JUNTOS EN LA LÍNEA ESTRATÉGICA ECONÓMICA</v>
          </cell>
          <cell r="D125" t="str">
            <v>TRANSPORTE</v>
          </cell>
          <cell r="E125" t="str">
            <v>Mejoramiento y mantenimiento 2 puentes vehiculares,  en la zona rural o urbana del municipio</v>
          </cell>
        </row>
        <row r="126">
          <cell r="A126" t="str">
            <v>META-125</v>
          </cell>
          <cell r="B126" t="str">
            <v>2024257770021</v>
          </cell>
          <cell r="C126" t="str">
            <v>POR EL SUPATÁ SOÑADO AVANZAMOS JUNTOS EN LA LÍNEA ESTRATÉGICA ECONÓMICA</v>
          </cell>
          <cell r="D126" t="str">
            <v>TRANSPORTE</v>
          </cell>
          <cell r="E126" t="str">
            <v>Hacer mantenimiento y/o adecuación  a  4 caminos reales  durante el cuatrienio.</v>
          </cell>
        </row>
        <row r="127">
          <cell r="A127" t="str">
            <v>META-126</v>
          </cell>
          <cell r="B127" t="str">
            <v>2024257770021</v>
          </cell>
          <cell r="C127" t="str">
            <v>POR EL SUPATÁ SOÑADO AVANZAMOS JUNTOS EN LA LÍNEA ESTRATÉGICA ECONÓMICA</v>
          </cell>
          <cell r="D127" t="str">
            <v>TRANSPORTE</v>
          </cell>
          <cell r="E127" t="str">
            <v xml:space="preserve">Realizar 300 metros lineales de señalizacion de vías terciarias y urbanas del municipio. </v>
          </cell>
        </row>
        <row r="128">
          <cell r="A128" t="str">
            <v>META-127</v>
          </cell>
          <cell r="B128" t="str">
            <v>2024257770021</v>
          </cell>
          <cell r="E128" t="str">
            <v>Realizar  4 capacitaciones sobre seguridad vial a los actores viales del municipio</v>
          </cell>
        </row>
        <row r="129">
          <cell r="A129" t="str">
            <v>META-128</v>
          </cell>
          <cell r="B129" t="str">
            <v>2024257770023</v>
          </cell>
          <cell r="C129" t="str">
            <v>POR EL SUPATÁ SOÑADO AVANZAMOS JUNTOS EN LA LÍNEA ESTRATÉGICA ECONÓMICA</v>
          </cell>
          <cell r="D129" t="str">
            <v>AGROPECUARIO</v>
          </cell>
          <cell r="E129" t="str">
            <v>Apoyo   (2) proyectos productivos que me garanticen el uso eficiente en ganaderia y uso del suelo.</v>
          </cell>
        </row>
        <row r="130">
          <cell r="A130" t="str">
            <v>META-129</v>
          </cell>
          <cell r="B130" t="str">
            <v>2024257770023</v>
          </cell>
          <cell r="C130" t="str">
            <v>POR EL SUPATÁ SOÑADO AVANZAMOS JUNTOS EN LA LÍNEA ESTRATÉGICA ECONÓMICA</v>
          </cell>
          <cell r="D130" t="str">
            <v>AGROPECUARIO</v>
          </cell>
          <cell r="E130" t="str">
            <v>Realizar 400 visitas  técnicas solicitada a los sistemas de producción agricolas</v>
          </cell>
        </row>
        <row r="131">
          <cell r="A131" t="str">
            <v>META-130</v>
          </cell>
          <cell r="B131" t="str">
            <v>2024257770023</v>
          </cell>
          <cell r="C131" t="str">
            <v>POR EL SUPATÁ SOÑADO AVANZAMOS JUNTOS EN LA LÍNEA ESTRATÉGICA ECONÓMICA</v>
          </cell>
          <cell r="D131" t="str">
            <v>AGROPECUARIO</v>
          </cell>
          <cell r="E131" t="str">
            <v>Implementar 80 huertas y huertos  caseras</v>
          </cell>
        </row>
        <row r="132">
          <cell r="A132" t="str">
            <v>META-131</v>
          </cell>
          <cell r="B132" t="str">
            <v>2024257770023</v>
          </cell>
          <cell r="C132" t="str">
            <v>POR EL SUPATÁ SOÑADO AVANZAMOS JUNTOS EN LA LÍNEA ESTRATÉGICA ECONÓMICA</v>
          </cell>
          <cell r="D132" t="str">
            <v>AGROPECUARIO</v>
          </cell>
          <cell r="E132" t="str">
            <v>Apoyo a  20  pequeños productores cafeteros del municipio para aumentar las áreas de siembra, mejorar la capacidad productiva y competitividad, en el cuatrenio</v>
          </cell>
        </row>
        <row r="133">
          <cell r="A133" t="str">
            <v>META-132</v>
          </cell>
          <cell r="B133" t="str">
            <v>2024257770023</v>
          </cell>
          <cell r="C133" t="str">
            <v>POR EL SUPATÁ SOÑADO AVANZAMOS JUNTOS EN LA LÍNEA ESTRATÉGICA ECONÓMICA</v>
          </cell>
          <cell r="D133" t="str">
            <v>AGROPECUARIO</v>
          </cell>
          <cell r="E133" t="str">
            <v>Fortalecer  el Programa de Mercados Campesinos para aumentar la comercializacion de los productos agropecuarios</v>
          </cell>
        </row>
        <row r="134">
          <cell r="A134" t="str">
            <v>META-133</v>
          </cell>
          <cell r="B134" t="str">
            <v>2024257770023</v>
          </cell>
          <cell r="C134" t="str">
            <v>POR EL SUPATÁ SOÑADO AVANZAMOS JUNTOS EN LA LÍNEA ESTRATÉGICA ECONÓMICA</v>
          </cell>
          <cell r="D134" t="str">
            <v>AGROPECUARIO</v>
          </cell>
          <cell r="E134" t="str">
            <v>Apoyar a 20 usuarios en la implementacion de sistemas de producción pecuaria con especies menores.</v>
          </cell>
        </row>
        <row r="135">
          <cell r="A135" t="str">
            <v>META-134</v>
          </cell>
          <cell r="B135" t="str">
            <v>2024257770023</v>
          </cell>
          <cell r="C135" t="str">
            <v>POR EL SUPATÁ SOÑADO AVANZAMOS JUNTOS EN LA LÍNEA ESTRATÉGICA ECONÓMICA</v>
          </cell>
          <cell r="D135" t="str">
            <v>AGROPECUARIO</v>
          </cell>
          <cell r="E135" t="str">
            <v>Fortalecer anualmente las asociasiones de productores legalmente constituidas</v>
          </cell>
        </row>
        <row r="136">
          <cell r="A136" t="str">
            <v>META-135</v>
          </cell>
          <cell r="B136" t="str">
            <v>2024257770024</v>
          </cell>
          <cell r="C136" t="str">
            <v>POR EL SUPATÁ SOÑADO AVANZAMOS JUNTOS EN LA LÍNEA ESTRATÉGICA ECONÓMICA</v>
          </cell>
          <cell r="D136" t="str">
            <v>AGROPECUARIO</v>
          </cell>
          <cell r="E136" t="str">
            <v>Capacitar a 100 personas  que elaboren en fincas ganaderas en normatividad ICA</v>
          </cell>
        </row>
        <row r="137">
          <cell r="A137" t="str">
            <v>META-136</v>
          </cell>
          <cell r="B137" t="str">
            <v>202500000009592</v>
          </cell>
          <cell r="C137" t="str">
            <v>POR EL SUPATÁ SOÑADO AVANZAMOS JUNTOS EN LA LÍNEA ESTRATÉGICA ECONÓMICA</v>
          </cell>
          <cell r="D137" t="str">
            <v>AGROPECUARIO</v>
          </cell>
          <cell r="E137" t="str">
            <v>Organizar (4) ferias agropecuarias</v>
          </cell>
        </row>
        <row r="138">
          <cell r="A138" t="str">
            <v>META-137</v>
          </cell>
          <cell r="B138" t="str">
            <v>202500000008911</v>
          </cell>
          <cell r="C138" t="str">
            <v>POR EL SUPATÁ SOÑADO AVANZAMOS JUNTOS EN LA LÍNEA ESTRATÉGICA ECONÓMICA</v>
          </cell>
          <cell r="D138" t="str">
            <v>AGROPECUARIO</v>
          </cell>
          <cell r="E138" t="str">
            <v xml:space="preserve">Realizar 500 procedimientos de esterilización canina y felina con el fin de hacer control de población canina y felina </v>
          </cell>
        </row>
        <row r="139">
          <cell r="A139" t="str">
            <v>META-138</v>
          </cell>
          <cell r="B139" t="str">
            <v>202500000009564</v>
          </cell>
          <cell r="C139" t="str">
            <v>POR EL SUPATÁ SOÑADO AVANZAMOS JUNTOS EN LA LÍNEA ESTRATÉGICA ECONÓMICA</v>
          </cell>
          <cell r="D139" t="str">
            <v>AGROPECUARIO</v>
          </cell>
          <cell r="E139" t="str">
            <v>Crear el plan agropecuario municipal</v>
          </cell>
        </row>
        <row r="140">
          <cell r="A140" t="str">
            <v>META-139</v>
          </cell>
          <cell r="B140" t="str">
            <v>202500000008931</v>
          </cell>
          <cell r="C140" t="str">
            <v>POR EL SUPATÁ SOÑADO AVANZAMOS JUNTOS EN LA LÍNEA ESTRATÉGICA ECONÓMICA</v>
          </cell>
          <cell r="D140" t="str">
            <v>AGROPECUARIO</v>
          </cell>
          <cell r="E140" t="str">
            <v xml:space="preserve">Realizar 500 chequeos reproductivos  en ganado bovino de los diferentes productores del municipio </v>
          </cell>
        </row>
        <row r="141">
          <cell r="A141" t="str">
            <v>META-140</v>
          </cell>
          <cell r="B141" t="str">
            <v>202500000008931</v>
          </cell>
          <cell r="C141" t="str">
            <v>POR EL SUPATÁ SOÑADO AVANZAMOS JUNTOS EN LA LÍNEA ESTRATÉGICA ECONÓMICA</v>
          </cell>
          <cell r="D141" t="str">
            <v>AGROPECUARIO</v>
          </cell>
          <cell r="E141" t="str">
            <v>Reforzar 5 parcelas de cultivos tradicionales, implementando los pincipios basicos de conservación</v>
          </cell>
        </row>
        <row r="142">
          <cell r="A142" t="str">
            <v>META-141</v>
          </cell>
          <cell r="B142" t="str">
            <v>202500000008931</v>
          </cell>
          <cell r="C142" t="str">
            <v>POR EL SUPATÁ SOÑADO AVANZAMOS JUNTOS EN LA LÍNEA ESTRATÉGICA ECONÓMICA</v>
          </cell>
          <cell r="D142" t="str">
            <v>AGROPECUARIO</v>
          </cell>
          <cell r="E142" t="str">
            <v>Realizar 400 inseminaciones artificiales en ganado bovino de los diferentes productores</v>
          </cell>
        </row>
        <row r="143">
          <cell r="A143" t="str">
            <v>META-142</v>
          </cell>
          <cell r="B143" t="str">
            <v>202500000008931</v>
          </cell>
          <cell r="C143" t="str">
            <v>POR EL SUPATÁ SOÑADO AVANZAMOS JUNTOS EN LA LÍNEA ESTRATÉGICA ECONÓMICA</v>
          </cell>
          <cell r="D143" t="str">
            <v>AGROPECUARIO</v>
          </cell>
          <cell r="E143" t="str">
            <v>Mantener el (1) proyecto de mejoramiento genético</v>
          </cell>
        </row>
        <row r="144">
          <cell r="A144" t="str">
            <v>META-143</v>
          </cell>
          <cell r="B144" t="str">
            <v>2024257770029</v>
          </cell>
          <cell r="C144" t="str">
            <v>POR EL SUPATÁ SOÑADO AVANZAMOS JUNTOS EN LA LÍNEA ESTRATÉGICA ECONÓMICA</v>
          </cell>
          <cell r="D144" t="str">
            <v>AGROPECUARIO</v>
          </cell>
          <cell r="E144" t="str">
            <v>Ajustar los estudios y diseños del distrito de riego para solicitar financiacion en una entidad nacional</v>
          </cell>
        </row>
        <row r="145">
          <cell r="A145" t="str">
            <v>META-144</v>
          </cell>
          <cell r="B145" t="str">
            <v>2024257770029</v>
          </cell>
          <cell r="C145" t="str">
            <v>POR EL SUPATÁ SOÑADO AVANZAMOS JUNTOS EN LA LÍNEA ESTRATÉGICA ECONÓMICA</v>
          </cell>
          <cell r="D145" t="str">
            <v>AGROPECUARIO</v>
          </cell>
          <cell r="E145" t="str">
            <v xml:space="preserve">gestionar los estudios y diseños de un centro de acopio para productos agropecuarios. </v>
          </cell>
        </row>
        <row r="146">
          <cell r="A146" t="str">
            <v>META-145</v>
          </cell>
          <cell r="B146" t="str">
            <v>2024257770030</v>
          </cell>
          <cell r="C146" t="str">
            <v>POR EL SUPATÁ SOÑADO AVANZAMOS JUNTOS EN LA LÍNEA ESTRATÉGICA INSTITUCIONAL</v>
          </cell>
          <cell r="D146" t="str">
            <v>FORTALECIMIENTO INSTITUCIONAL</v>
          </cell>
          <cell r="E146" t="str">
            <v>Apoyo Jurídico y operativo para el proceso de cobro coactivo y la actualización del estatuto tributario Municipal.</v>
          </cell>
        </row>
        <row r="147">
          <cell r="A147" t="str">
            <v>META-146</v>
          </cell>
          <cell r="B147" t="str">
            <v>2024257770030</v>
          </cell>
          <cell r="C147" t="str">
            <v>POR EL SUPATÁ SOÑADO AVANZAMOS JUNTOS EN LA LÍNEA ESTRATÉGICA INSTITUCIONAL</v>
          </cell>
          <cell r="D147" t="str">
            <v>FORTALECIMIENTO INSTITUCIONAL</v>
          </cell>
          <cell r="E147" t="str">
            <v>Modernización Tecnológica y administrativa para la Gestión Financiera y Fiscal del Municipio de Supatá Cundinamarca</v>
          </cell>
        </row>
        <row r="148">
          <cell r="A148" t="str">
            <v>META-147</v>
          </cell>
          <cell r="B148" t="str">
            <v>2024257770030</v>
          </cell>
          <cell r="C148" t="str">
            <v>POR EL SUPATÁ SOÑADO AVANZAMOS JUNTOS EN LA LÍNEA ESTRATÉGICA INSTITUCIONAL</v>
          </cell>
          <cell r="D148" t="str">
            <v>FORTALECIMIENTO INSTITUCIONAL</v>
          </cell>
          <cell r="E148" t="str">
            <v>Implementar un  programa  anual para el Fortalecimiento Institucional</v>
          </cell>
        </row>
        <row r="149">
          <cell r="A149" t="str">
            <v>META-148</v>
          </cell>
          <cell r="B149" t="str">
            <v>2024257770030</v>
          </cell>
          <cell r="C149" t="str">
            <v>POR EL SUPATÁ SOÑADO AVANZAMOS JUNTOS EN LA LÍNEA ESTRATÉGICA INSTITUCIONAL</v>
          </cell>
          <cell r="D149" t="str">
            <v>FORTALECIMIENTO INSTITUCIONAL</v>
          </cell>
          <cell r="E149" t="str">
            <v>Realizar un mantenimiento anual de los bienes inmuebles  de propiedad del municipio en el cuatrienio.</v>
          </cell>
        </row>
        <row r="150">
          <cell r="A150" t="str">
            <v>META-149</v>
          </cell>
          <cell r="B150" t="str">
            <v>2024257770030</v>
          </cell>
          <cell r="C150" t="str">
            <v>POR EL SUPATÁ SOÑADO AVANZAMOS JUNTOS EN LA LÍNEA ESTRATÉGICA INSTITUCIONAL</v>
          </cell>
          <cell r="D150" t="str">
            <v>FORTALECIMIENTO INSTITUCIONAL</v>
          </cell>
          <cell r="E150" t="str">
            <v>Realizar construcción de la infraestructura de la Casa de Gobierno del municipio</v>
          </cell>
        </row>
        <row r="151">
          <cell r="A151" t="str">
            <v>META-150</v>
          </cell>
          <cell r="B151" t="str">
            <v>2024257770030</v>
          </cell>
          <cell r="C151" t="str">
            <v>POR EL SUPATÁ SOÑADO AVANZAMOS JUNTOS EN LA LÍNEA ESTRATÉGICA INSTITUCIONAL</v>
          </cell>
          <cell r="D151" t="str">
            <v>FORTALECIMIENTO INSTITUCIONAL</v>
          </cell>
          <cell r="E151" t="str">
            <v>Implementar y ejecutar un Programa anual del Sistema General de Seguridad y Salud en el trabajo en el cuatrienio</v>
          </cell>
        </row>
        <row r="152">
          <cell r="A152" t="str">
            <v>META-151</v>
          </cell>
          <cell r="B152" t="str">
            <v>2024257770030</v>
          </cell>
          <cell r="C152" t="str">
            <v>POR EL SUPATÁ SOÑADO AVANZAMOS JUNTOS EN LA LÍNEA ESTRATÉGICA INSTITUCIONAL</v>
          </cell>
          <cell r="D152" t="str">
            <v>FORTALECIMIENTO INSTITUCIONAL</v>
          </cell>
          <cell r="E152" t="str">
            <v>Realizar anualmente  la contratacion de personal especializado, profesional, tecnico y asistencial en la prestacion de servicios y  apoyo de la gestion en las dependencias de la administracion municipal</v>
          </cell>
        </row>
        <row r="153">
          <cell r="A153" t="str">
            <v>META-152</v>
          </cell>
          <cell r="B153" t="str">
            <v>2024257770030</v>
          </cell>
          <cell r="C153" t="str">
            <v>POR EL SUPATÁ SOÑADO AVANZAMOS JUNTOS EN LA LÍNEA ESTRATÉGICA INSTITUCIONAL</v>
          </cell>
          <cell r="D153" t="str">
            <v>FORTALECIMIENTO INSTITUCIONAL</v>
          </cell>
          <cell r="E153" t="str">
            <v>Implementar un Plan Anual de Bienestar  e Incentivos para los funcionarios de la administración municipal</v>
          </cell>
        </row>
        <row r="154">
          <cell r="A154" t="str">
            <v>META-153</v>
          </cell>
          <cell r="B154" t="str">
            <v>2024257770030</v>
          </cell>
          <cell r="C154" t="str">
            <v>POR EL SUPATÁ SOÑADO AVANZAMOS JUNTOS EN LA LÍNEA ESTRATÉGICA INSTITUCIONAL</v>
          </cell>
          <cell r="D154" t="str">
            <v>FORTALECIMIENTO INSTITUCIONAL</v>
          </cell>
          <cell r="E154" t="str">
            <v>Organizar los archivos de gestión y fondos acumulados de la Administración Municipal  de acuerdo a las  normas vigentes relacionada con los archivos, durante el cuatrienio</v>
          </cell>
        </row>
        <row r="155">
          <cell r="A155" t="str">
            <v>META-154</v>
          </cell>
          <cell r="B155" t="str">
            <v>2024257770031</v>
          </cell>
          <cell r="C155" t="str">
            <v>POR EL SUPATÁ SOÑADO AVANZAMOS JUNTOS EN LA LÍNEA ESTRATÉGICA INSTITUCIONAL</v>
          </cell>
          <cell r="D155" t="str">
            <v>FORTALECIMIENTO INSTITUCIONAL</v>
          </cell>
          <cell r="E155" t="str">
            <v>Realizar (8) reuniones del CMGRD para el establecimiento de mecanismos alerta y reacción ante situaciones de riesgo.</v>
          </cell>
        </row>
        <row r="156">
          <cell r="A156" t="str">
            <v>META-155</v>
          </cell>
          <cell r="B156" t="str">
            <v>2024257770031</v>
          </cell>
          <cell r="C156" t="str">
            <v>POR EL SUPATÁ SOÑADO AVANZAMOS JUNTOS EN LA LÍNEA ESTRATÉGICA INSTITUCIONAL</v>
          </cell>
          <cell r="D156" t="str">
            <v>FORTALECIMIENTO INSTITUCIONAL</v>
          </cell>
          <cell r="E156" t="str">
            <v>Realizar un convenio con el cuerpo de bomberos</v>
          </cell>
        </row>
        <row r="157">
          <cell r="A157" t="str">
            <v>META-156</v>
          </cell>
          <cell r="B157" t="str">
            <v>2024257770031</v>
          </cell>
          <cell r="C157" t="str">
            <v>POR EL SUPATÁ SOÑADO AVANZAMOS JUNTOS EN LA LÍNEA ESTRATÉGICA INSTITUCIONAL</v>
          </cell>
          <cell r="D157" t="str">
            <v>FORTALECIMIENTO INSTITUCIONAL</v>
          </cell>
          <cell r="E157" t="str">
            <v>Realizar  obras  de mitigación del Riesgo</v>
          </cell>
        </row>
        <row r="158">
          <cell r="A158" t="str">
            <v>META-157</v>
          </cell>
          <cell r="B158" t="str">
            <v>2024257770031</v>
          </cell>
          <cell r="C158" t="str">
            <v>POR EL SUPATÁ SOÑADO AVANZAMOS JUNTOS EN LA LÍNEA ESTRATÉGICA INSTITUCIONAL</v>
          </cell>
          <cell r="D158" t="str">
            <v>FORTALECIMIENTO INSTITUCIONAL</v>
          </cell>
          <cell r="E158" t="str">
            <v>Realizar anualmente (1) asistencia tecnica de apoyo a los grupos de socorro</v>
          </cell>
        </row>
        <row r="159">
          <cell r="A159" t="str">
            <v>META-158</v>
          </cell>
          <cell r="B159" t="str">
            <v>2024257770031</v>
          </cell>
          <cell r="C159" t="str">
            <v>POR EL SUPATÁ SOÑADO AVANZAMOS JUNTOS EN LA LÍNEA ESTRATÉGICA INSTITUCIONAL</v>
          </cell>
          <cell r="D159" t="str">
            <v>FORTALECIMIENTO INSTITUCIONAL</v>
          </cell>
          <cell r="E159" t="str">
            <v>Actualizar el plan de gestión del riesgo de desastres y estrategia para la respuesta a emergencias</v>
          </cell>
        </row>
        <row r="160">
          <cell r="A160" t="str">
            <v>META-159</v>
          </cell>
          <cell r="B160" t="str">
            <v>2024257770031</v>
          </cell>
          <cell r="C160" t="str">
            <v>POR EL SUPATÁ SOÑADO AVANZAMOS JUNTOS EN LA LÍNEA ESTRATÉGICA INSTITUCIONAL</v>
          </cell>
          <cell r="D160" t="str">
            <v>FORTALECIMIENTO INSTITUCIONAL</v>
          </cell>
          <cell r="E160" t="str">
            <v>Capacitar a 20 lideres comunitarios en tema de atención y prevención de Gestión del Riesgo</v>
          </cell>
        </row>
        <row r="161">
          <cell r="A161" t="str">
            <v>META-160</v>
          </cell>
          <cell r="B161" t="str">
            <v>2024257770031</v>
          </cell>
          <cell r="C161" t="str">
            <v>POR EL SUPATÁ SOÑADO AVANZAMOS JUNTOS EN LA LÍNEA ESTRATÉGICA INSTITUCIONAL</v>
          </cell>
          <cell r="D161" t="str">
            <v>FORTALECIMIENTO INSTITUCIONAL</v>
          </cell>
          <cell r="E161" t="str">
            <v>Realizar (4) simulacros de evacuación</v>
          </cell>
        </row>
        <row r="162">
          <cell r="A162" t="str">
            <v>META-161</v>
          </cell>
          <cell r="B162" t="str">
            <v>2024257770031</v>
          </cell>
          <cell r="C162" t="str">
            <v>POR EL SUPATÁ SOÑADO AVANZAMOS JUNTOS EN LA LÍNEA ESTRATÉGICA INSTITUCIONAL</v>
          </cell>
          <cell r="D162" t="str">
            <v>FORTALECIMIENTO INSTITUCIONAL</v>
          </cell>
          <cell r="E162" t="str">
            <v>Implementar un programa anual  para la  ayuda humanitaria y la atención de la población afectada por desastres y emergencias sanitarias</v>
          </cell>
        </row>
        <row r="163">
          <cell r="A163" t="str">
            <v>META-162</v>
          </cell>
          <cell r="B163" t="str">
            <v>2024257770031</v>
          </cell>
          <cell r="C163" t="str">
            <v>POR EL SUPATÁ SOÑADO AVANZAMOS JUNTOS EN LA LÍNEA ESTRATÉGICA INSTITUCIONAL</v>
          </cell>
          <cell r="D163" t="str">
            <v>FORTALECIMIENTO INSTITUCIONAL</v>
          </cell>
          <cell r="E163" t="str">
            <v>Realizar ( 4) capacitaciones del comité Local de Atención y Prevención de Desastres en atención y prevención del riesgo</v>
          </cell>
        </row>
        <row r="164">
          <cell r="A164" t="str">
            <v>META-163</v>
          </cell>
          <cell r="B164" t="str">
            <v>2024257770032</v>
          </cell>
          <cell r="C164" t="str">
            <v>POR EL SUPATÁ SOÑADO AVANZAMOS JUNTOS EN LA LÍNEA ESTRATÉGICA INSTITUCIONAL</v>
          </cell>
          <cell r="D164" t="str">
            <v>DESARROLLO COMUNITARIO</v>
          </cell>
          <cell r="E164" t="str">
            <v xml:space="preserve">Efectuar 04 actividades encaminadas a reactivar y fortalecer los espacios de participación. </v>
          </cell>
        </row>
        <row r="165">
          <cell r="A165" t="str">
            <v>META-164</v>
          </cell>
          <cell r="B165" t="str">
            <v>2024257770032</v>
          </cell>
          <cell r="C165" t="str">
            <v>POR EL SUPATÁ SOÑADO AVANZAMOS JUNTOS EN LA LÍNEA ESTRATÉGICA INSTITUCIONAL</v>
          </cell>
          <cell r="D165" t="str">
            <v>DESARROLLO COMUNITARIO</v>
          </cell>
          <cell r="E165" t="str">
            <v>Realizar 04 capacitaciones para fortalecer las juntas de acción comunal.</v>
          </cell>
        </row>
        <row r="166">
          <cell r="A166" t="str">
            <v>META-165</v>
          </cell>
          <cell r="B166" t="str">
            <v>2024257770032</v>
          </cell>
          <cell r="C166" t="str">
            <v>POR EL SUPATÁ SOÑADO AVANZAMOS JUNTOS EN LA LÍNEA ESTRATÉGICA INSTITUCIONAL</v>
          </cell>
          <cell r="D166" t="str">
            <v>DESARROLLO COMUNITARIO</v>
          </cell>
          <cell r="E166" t="str">
            <v>Realizar 4 rendiciones de cuentas sobre la gestión de la administración municipal.</v>
          </cell>
        </row>
        <row r="167">
          <cell r="A167" t="str">
            <v>META-166</v>
          </cell>
          <cell r="B167" t="str">
            <v>2024257770032</v>
          </cell>
          <cell r="C167" t="str">
            <v>POR EL SUPATÁ SOÑADO AVANZAMOS JUNTOS EN LA LÍNEA ESTRATÉGICA INSTITUCIONAL</v>
          </cell>
          <cell r="D167" t="str">
            <v>DESARROLLO COMUNITARIO</v>
          </cell>
          <cell r="E167" t="str">
            <v>Promover 1 veeduría ciudadana como espacio garante de control social.</v>
          </cell>
        </row>
        <row r="168">
          <cell r="A168" t="str">
            <v>META-167</v>
          </cell>
          <cell r="B168" t="str">
            <v>2024257770033</v>
          </cell>
          <cell r="C168" t="str">
            <v>POR EL SUPATÁ SOÑADO AVANZAMOS JUNTOS EN LA LÍNEA ESTRATÉGICA INSTITUCIONAL</v>
          </cell>
          <cell r="D168" t="str">
            <v>DESARROLLO COMUNITARIO</v>
          </cell>
          <cell r="E168" t="str">
            <v>Actualizar el plan integral de convivencia ciudadana</v>
          </cell>
        </row>
        <row r="169">
          <cell r="A169" t="str">
            <v>META-168</v>
          </cell>
          <cell r="B169" t="str">
            <v>2024257770033</v>
          </cell>
          <cell r="C169" t="str">
            <v>POR EL SUPATÁ SOÑADO AVANZAMOS JUNTOS EN LA LÍNEA ESTRATÉGICA INSTITUCIONAL</v>
          </cell>
          <cell r="D169" t="str">
            <v>DESARROLLO COMUNITARIO</v>
          </cell>
          <cell r="E169" t="str">
            <v>Realizar (4) actividades que involucren temas de seguridad y colaboración.</v>
          </cell>
        </row>
        <row r="170">
          <cell r="A170" t="str">
            <v>META-169</v>
          </cell>
          <cell r="B170" t="str">
            <v>2024257770033</v>
          </cell>
          <cell r="C170" t="str">
            <v>POR EL SUPATÁ SOÑADO AVANZAMOS JUNTOS EN LA LÍNEA ESTRATÉGICA INSTITUCIONAL</v>
          </cell>
          <cell r="D170" t="str">
            <v>DESARROLLO COMUNITARIO</v>
          </cell>
          <cell r="E170" t="str">
            <v>Realizar 4 asistencias tecnicas sobre prevención a violaciones de derechos humanos</v>
          </cell>
        </row>
        <row r="171">
          <cell r="A171" t="str">
            <v>META-170</v>
          </cell>
          <cell r="B171" t="str">
            <v>202500000008932</v>
          </cell>
          <cell r="C171" t="str">
            <v>POR EL SUPATÁ SOÑADO AVANZAMOS JUNTOS EN LA LÍNEA ESTRATÉGICA INSTITUCIONAL</v>
          </cell>
          <cell r="D171" t="str">
            <v>TRABAJO</v>
          </cell>
          <cell r="E171" t="str">
            <v>Realizar 4 eventos sobre gestion de emprendimientos</v>
          </cell>
        </row>
        <row r="172">
          <cell r="A172" t="str">
            <v>META-171</v>
          </cell>
          <cell r="B172" t="str">
            <v>2024257770035</v>
          </cell>
          <cell r="C172" t="str">
            <v>POR EL SUPATÁ SOÑADO AVANZAMOS JUNTOS EN LA LÍNEA ESTRATÉGICA INSTITUCIONAL</v>
          </cell>
          <cell r="D172" t="str">
            <v>JUSTICIA Y SEGURIDAD CIUDADANA</v>
          </cell>
          <cell r="E172" t="str">
            <v>fortalecer el grupo interdisciplinario de la comisaria de familia para Garantizar, proteger, restablecer y reparar los derechos de los miembros de la familia sgp libre destinacion 135millones + 15 m pro justicia familiar estampilla todos los años</v>
          </cell>
        </row>
        <row r="173">
          <cell r="A173" t="str">
            <v>META-172</v>
          </cell>
          <cell r="B173" t="str">
            <v>2024257770035</v>
          </cell>
          <cell r="C173" t="str">
            <v>POR EL SUPATÁ SOÑADO AVANZAMOS JUNTOS EN LA LÍNEA ESTRATÉGICA INSTITUCIONAL</v>
          </cell>
          <cell r="D173" t="str">
            <v>JUSTICIA Y SEGURIDAD CIUDADANA</v>
          </cell>
          <cell r="E173" t="str">
            <v>Apoyar anualmente a la inspeccion de policia  90Millones SPG libre destinación todos los años auumentar 5% al año</v>
          </cell>
        </row>
        <row r="174">
          <cell r="A174" t="str">
            <v>META-173</v>
          </cell>
          <cell r="B174" t="str">
            <v>2024257770035</v>
          </cell>
          <cell r="C174" t="str">
            <v>POR EL SUPATÁ SOÑADO AVANZAMOS JUNTOS EN LA LÍNEA ESTRATÉGICA INSTITUCIONAL</v>
          </cell>
          <cell r="D174" t="str">
            <v>JUSTICIA Y SEGURIDAD CIUDADANA</v>
          </cell>
          <cell r="E174" t="str">
            <v xml:space="preserve">Realizar (1) acción para la implementación de herramientas tecnologicas de seguridad  CAMARAS DE VIGILANCIA </v>
          </cell>
        </row>
        <row r="175">
          <cell r="A175" t="str">
            <v>META-174</v>
          </cell>
          <cell r="B175" t="str">
            <v>2024257770035</v>
          </cell>
          <cell r="C175" t="str">
            <v>POR EL SUPATÁ SOÑADO AVANZAMOS JUNTOS EN LA LÍNEA ESTRATÉGICA INSTITUCIONAL</v>
          </cell>
          <cell r="D175" t="str">
            <v>JUSTICIA Y SEGURIDAD CIUDADANA</v>
          </cell>
          <cell r="E175" t="str">
            <v>Realizar 24 Consejos de Seguridad</v>
          </cell>
        </row>
        <row r="176">
          <cell r="A176" t="str">
            <v>META-175</v>
          </cell>
          <cell r="B176" t="str">
            <v>2024257770036</v>
          </cell>
          <cell r="C176" t="str">
            <v>POR EL SUPATÁ SOÑADO AVANZAMOS JUNTOS EN LA LÍNEA ESTRATÉGICA INSTITUCIONAL</v>
          </cell>
          <cell r="D176" t="str">
            <v>JUSTICIA Y SEGURIDAD CIUDADANA</v>
          </cell>
          <cell r="E176" t="str">
            <v>Realizar cuatro (4) campañas para la prevención en material penal</v>
          </cell>
        </row>
        <row r="177">
          <cell r="A177" t="str">
            <v>META-176</v>
          </cell>
          <cell r="B177" t="str">
            <v>202500000008965</v>
          </cell>
          <cell r="C177" t="str">
            <v>POR EL SUPATÁ SOÑADO AVANZAMOS JUNTOS EN LA LÍNEA ESTRATÉGICA INSTITUCIONAL</v>
          </cell>
          <cell r="D177" t="str">
            <v>JUSTICIA Y SEGURIDAD CIUDADANA</v>
          </cell>
          <cell r="E177" t="str">
            <v>Garantizar anualmente el suministro de alimentación a las personas privadas de la libertad</v>
          </cell>
        </row>
        <row r="178">
          <cell r="A178" t="str">
            <v>META-177</v>
          </cell>
          <cell r="B178" t="str">
            <v>202500000008965</v>
          </cell>
          <cell r="C178" t="str">
            <v>POR EL SUPATÁ SOÑADO AVANZAMOS JUNTOS EN LA LÍNEA ESTRATÉGICA INSTITUCIONAL</v>
          </cell>
          <cell r="D178" t="str">
            <v>JUSTICIA Y SEGURIDAD CIUDADANA</v>
          </cell>
          <cell r="E178" t="str">
            <v>Fortalecer anualmente el funcionamiento de las fuerzas publicas con los recursos del fonde de seguridad</v>
          </cell>
        </row>
        <row r="179">
          <cell r="A179" t="str">
            <v>META-178</v>
          </cell>
          <cell r="B179" t="str">
            <v>202500000008965</v>
          </cell>
          <cell r="C179" t="str">
            <v>POR EL SUPATÁ SOÑADO AVANZAMOS JUNTOS EN LA LÍNEA ESTRATÉGICA INSTITUCIONAL</v>
          </cell>
          <cell r="D179" t="str">
            <v>JUSTICIA Y SEGURIDAD CIUDADANA</v>
          </cell>
          <cell r="E179" t="str">
            <v>Realizar (1) convenio anual con el Inpec de conformidad con los lineamientos establecidos de la ley 10 millones sgp libre inversion</v>
          </cell>
        </row>
        <row r="180">
          <cell r="A180" t="str">
            <v>META-179</v>
          </cell>
          <cell r="B180" t="str">
            <v>2024257770038</v>
          </cell>
          <cell r="C180" t="str">
            <v>POR EL SUPATÁ SOÑADO AVANZAMOS JUNTOS EN LA LÍNEA ESTRATÉGICA AMBIENTAL</v>
          </cell>
          <cell r="D180" t="str">
            <v>SERVICIOS DIFERENTES APSB</v>
          </cell>
          <cell r="E180" t="str">
            <v>Realizar la ampliación del sistema de alumbrado publico</v>
          </cell>
        </row>
        <row r="181">
          <cell r="A181" t="str">
            <v>META-180</v>
          </cell>
          <cell r="B181" t="str">
            <v>2024257770038</v>
          </cell>
          <cell r="C181" t="str">
            <v>POR EL SUPATÁ SOÑADO AVANZAMOS JUNTOS EN LA LÍNEA ESTRATÉGICA AMBIENTAL</v>
          </cell>
          <cell r="D181" t="str">
            <v>SERVICIOS DIFERENTES APSB</v>
          </cell>
          <cell r="E181" t="str">
            <v>Garantizar el optimo funcionamiento del sistema de alummbrado público</v>
          </cell>
        </row>
        <row r="182">
          <cell r="A182" t="str">
            <v>META-181</v>
          </cell>
          <cell r="B182" t="str">
            <v>2024257770038</v>
          </cell>
          <cell r="C182" t="str">
            <v>POR EL SUPATÁ SOÑADO AVANZAMOS JUNTOS EN LA LÍNEA ESTRATÉGICA AMBIENTAL</v>
          </cell>
          <cell r="D182" t="str">
            <v>SERVICIOS DIFERENTES APSB</v>
          </cell>
          <cell r="E182" t="str">
            <v>Realizar anualmente los pagos de servicio de alumbrado público</v>
          </cell>
        </row>
        <row r="183">
          <cell r="A183" t="str">
            <v>META-182</v>
          </cell>
          <cell r="B183" t="str">
            <v>2024257770038</v>
          </cell>
          <cell r="C183" t="str">
            <v>POR EL SUPATÁ SOÑADO AVANZAMOS JUNTOS EN LA LÍNEA ESTRATÉGICA AMBIENTAL</v>
          </cell>
          <cell r="D183" t="str">
            <v>SERVICIOS DIFERENTES APSB</v>
          </cell>
          <cell r="E183" t="str">
            <v>Realizar un (1) estudio tecnico del servicio de Alumbrado Público</v>
          </cell>
        </row>
        <row r="184">
          <cell r="A184" t="str">
            <v>META-183</v>
          </cell>
          <cell r="B184" t="str">
            <v>2024257770038</v>
          </cell>
          <cell r="C184" t="str">
            <v>POR EL SUPATÁ SOÑADO AVANZAMOS JUNTOS EN LA LÍNEA ESTRATÉGICA AMBIENTAL</v>
          </cell>
          <cell r="D184" t="str">
            <v>SERVICIOS DIFERENTES APSB</v>
          </cell>
          <cell r="E184" t="str">
            <v>gestionar la implementación de energías alternativas</v>
          </cell>
        </row>
        <row r="185">
          <cell r="A185" t="str">
            <v>META-184</v>
          </cell>
          <cell r="B185" t="str">
            <v>2024257770039</v>
          </cell>
          <cell r="C185" t="str">
            <v>POR EL SUPATÁ SOÑADO AVANZAMOS JUNTOS EN LA LÍNEA ESTRATÉGICA AMBIENTAL</v>
          </cell>
          <cell r="D185" t="str">
            <v>SERVICIOS DIFERENTES APSB</v>
          </cell>
          <cell r="E185" t="str">
            <v>Ampliar beneficiarios del servicio de gas</v>
          </cell>
        </row>
        <row r="186">
          <cell r="A186" t="str">
            <v>META-185</v>
          </cell>
          <cell r="B186" t="str">
            <v>202500000008969</v>
          </cell>
          <cell r="C186" t="str">
            <v>POR EL SUPATÁ SOÑADO AVANZAMOS JUNTOS EN LA LÍNEA ESTRATÉGICA AMBIENTAL</v>
          </cell>
          <cell r="D186" t="str">
            <v>AMBIENTE</v>
          </cell>
          <cell r="E186" t="str">
            <v>Adelantar acciones para la implementación del plan de adaptación al cambio climático</v>
          </cell>
        </row>
        <row r="187">
          <cell r="A187" t="str">
            <v>META-186</v>
          </cell>
          <cell r="B187" t="str">
            <v>202500000008969</v>
          </cell>
          <cell r="C187" t="str">
            <v>POR EL SUPATÁ SOÑADO AVANZAMOS JUNTOS EN LA LÍNEA ESTRATÉGICA AMBIENTAL</v>
          </cell>
          <cell r="D187" t="str">
            <v>AMBIENTE</v>
          </cell>
          <cell r="E187" t="str">
            <v>Realizar 4 campañas que aporten a la disminución de contaminantes por residuos solidos.</v>
          </cell>
        </row>
        <row r="188">
          <cell r="A188" t="str">
            <v>META-187</v>
          </cell>
          <cell r="B188" t="str">
            <v>202500000008969</v>
          </cell>
          <cell r="C188" t="str">
            <v>POR EL SUPATÁ SOÑADO AVANZAMOS JUNTOS EN LA LÍNEA ESTRATÉGICA AMBIENTAL</v>
          </cell>
          <cell r="D188" t="str">
            <v>AMBIENTE</v>
          </cell>
          <cell r="E188" t="str">
            <v>Realizar el calculo de la huella de carbono del palacio municipal</v>
          </cell>
        </row>
        <row r="189">
          <cell r="A189" t="str">
            <v>META-188</v>
          </cell>
          <cell r="B189" t="str">
            <v>202500000009590</v>
          </cell>
          <cell r="C189" t="str">
            <v>POR EL SUPATÁ SOÑADO AVANZAMOS JUNTOS EN LA LÍNEA ESTRATÉGICA AMBIENTAL</v>
          </cell>
          <cell r="D189" t="str">
            <v>AMBIENTE</v>
          </cell>
          <cell r="E189" t="str">
            <v>Adoptar el 50% de las metas de la política de educación ambiental propuesta por las Corporaciones autónomas regionales en cada territorio</v>
          </cell>
        </row>
        <row r="190">
          <cell r="A190" t="str">
            <v>META-189</v>
          </cell>
          <cell r="B190" t="str">
            <v>202500000009590</v>
          </cell>
          <cell r="C190" t="str">
            <v>POR EL SUPATÁ SOÑADO AVANZAMOS JUNTOS EN LA LÍNEA ESTRATÉGICA AMBIENTAL</v>
          </cell>
          <cell r="D190" t="str">
            <v>AMBIENTE</v>
          </cell>
          <cell r="E190" t="str">
            <v>Implementar 4 capacitaciones y/o talleres con estrategias hacia la educación ambiental y sensibilización hacia el cuidado de los recursos hidricos</v>
          </cell>
        </row>
        <row r="191">
          <cell r="A191" t="str">
            <v>META-190</v>
          </cell>
          <cell r="B191" t="str">
            <v>202500000009587</v>
          </cell>
          <cell r="C191" t="str">
            <v>POR EL SUPATÁ SOÑADO AVANZAMOS JUNTOS EN LA LÍNEA ESTRATÉGICA AMBIENTAL</v>
          </cell>
          <cell r="D191" t="str">
            <v>AMBIENTE</v>
          </cell>
          <cell r="E191" t="str">
            <v xml:space="preserve">Implementar la política pública de bienestar animal </v>
          </cell>
        </row>
        <row r="192">
          <cell r="A192" t="str">
            <v>META-191</v>
          </cell>
          <cell r="B192" t="str">
            <v>202500000009587</v>
          </cell>
          <cell r="C192" t="str">
            <v>POR EL SUPATÁ SOÑADO AVANZAMOS JUNTOS EN LA LÍNEA ESTRATÉGICA AMBIENTAL</v>
          </cell>
          <cell r="D192" t="str">
            <v>AMBIENTE</v>
          </cell>
          <cell r="E192" t="str">
            <v>Realizar (4) jornadas de reforestación y cultura ambiental</v>
          </cell>
        </row>
        <row r="193">
          <cell r="A193" t="str">
            <v>META-192</v>
          </cell>
          <cell r="B193" t="str">
            <v>202500000009587</v>
          </cell>
          <cell r="C193" t="str">
            <v>POR EL SUPATÁ SOÑADO AVANZAMOS JUNTOS EN LA LÍNEA ESTRATÉGICA AMBIENTAL</v>
          </cell>
          <cell r="D193" t="str">
            <v>AMBIENTE</v>
          </cell>
          <cell r="E193" t="str">
            <v>Incentivar el pago por servicios ambientales</v>
          </cell>
        </row>
        <row r="194">
          <cell r="A194" t="str">
            <v>META-193</v>
          </cell>
          <cell r="B194" t="str">
            <v>202500000009587</v>
          </cell>
          <cell r="C194" t="str">
            <v>POR EL SUPATÁ SOÑADO AVANZAMOS JUNTOS EN LA LÍNEA ESTRATÉGICA AMBIENTAL</v>
          </cell>
          <cell r="D194" t="str">
            <v>AMBIENTE</v>
          </cell>
          <cell r="E194" t="str">
            <v>Reactivar la junta defensora de animales</v>
          </cell>
        </row>
        <row r="195">
          <cell r="A195" t="str">
            <v>META-194</v>
          </cell>
          <cell r="B195" t="str">
            <v>202500000009587</v>
          </cell>
          <cell r="C195" t="str">
            <v>POR EL SUPATÁ SOÑADO AVANZAMOS JUNTOS EN LA LÍNEA ESTRATÉGICA AMBIENTAL</v>
          </cell>
          <cell r="D195" t="str">
            <v>AMBIENTE</v>
          </cell>
          <cell r="E195" t="str">
            <v>Realizar 4 campañas de prevención de la deforestació, el manejo forestal, seguimiento de reforestación y el aprovechamiento sostenible de los recursos naturales hídricos y forestales.</v>
          </cell>
        </row>
        <row r="196">
          <cell r="A196" t="str">
            <v>META-195</v>
          </cell>
          <cell r="B196" t="str">
            <v>2024257770043</v>
          </cell>
          <cell r="C196" t="str">
            <v>POR EL SUPATÁ SOÑADO AVANZAMOS JUNTOS EN LA LÍNEA ESTRATÉGICA AMBIENTAL</v>
          </cell>
          <cell r="D196" t="str">
            <v>AMBIENTE</v>
          </cell>
          <cell r="E196" t="str">
            <v>Adquirir (1) predio de importancia hídrica</v>
          </cell>
        </row>
        <row r="197">
          <cell r="A197" t="str">
            <v>META-196</v>
          </cell>
          <cell r="B197" t="str">
            <v>2024257770043</v>
          </cell>
          <cell r="C197" t="str">
            <v>POR EL SUPATÁ SOÑADO AVANZAMOS JUNTOS EN LA LÍNEA ESTRATÉGICA AMBIENTAL</v>
          </cell>
          <cell r="D197" t="str">
            <v>AMBIENTE</v>
          </cell>
          <cell r="E197" t="str">
            <v>Adaptar un (1) espacio ecologico en las instituciones educativas para reducir las emisiones de GEI en el municipio.</v>
          </cell>
        </row>
        <row r="198">
          <cell r="A198" t="str">
            <v>META-197</v>
          </cell>
          <cell r="B198" t="str">
            <v>2024257770043</v>
          </cell>
          <cell r="C198" t="str">
            <v>POR EL SUPATÁ SOÑADO AVANZAMOS JUNTOS EN LA LÍNEA ESTRATÉGICA AMBIENTAL</v>
          </cell>
          <cell r="D198" t="str">
            <v>AMBIENTE</v>
          </cell>
          <cell r="E198" t="str">
            <v>Elaborar un (1) Plan de Uso Eficiente y Ahorro del Agua – PUEAA</v>
          </cell>
        </row>
        <row r="199">
          <cell r="A199" t="str">
            <v>META-198</v>
          </cell>
          <cell r="B199" t="str">
            <v>202500000009063</v>
          </cell>
          <cell r="C199" t="str">
            <v>POR EL SUPATÁ SOÑADO AVANZAMOS JUNTOS EN LA LÍNEA ESTRATÉGICA AMBIENTAL</v>
          </cell>
          <cell r="D199" t="str">
            <v>AMBIENTE</v>
          </cell>
          <cell r="E199" t="str">
            <v>apoyar la implementación anual de los proyectos ambientales escolares PRAES</v>
          </cell>
        </row>
      </sheetData>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STRUCCIONES"/>
      <sheetName val="PLAN_DESARROLLO"/>
      <sheetName val="SECRETARIAS"/>
      <sheetName val="LISTAS"/>
      <sheetName val="REGISTRO_AVANCES"/>
    </sheetNames>
    <sheetDataSet>
      <sheetData sheetId="0" refreshError="1"/>
      <sheetData sheetId="1">
        <row r="1">
          <cell r="A1" t="str">
            <v>ID_META</v>
          </cell>
          <cell r="B1" t="str">
            <v>BPIM</v>
          </cell>
          <cell r="C1" t="str">
            <v>EJE</v>
          </cell>
          <cell r="D1" t="str">
            <v>SECTOR</v>
          </cell>
          <cell r="E1" t="str">
            <v>META_PRODUCTO</v>
          </cell>
        </row>
        <row r="2">
          <cell r="A2" t="str">
            <v>META-001</v>
          </cell>
          <cell r="B2" t="str">
            <v>2024257770003</v>
          </cell>
          <cell r="C2" t="str">
            <v>POR EL SUPATÁ SOÑADO AVANZAMOS JUNTOS EN LA LÍNEA ESTRATÉGICA SOCIAL</v>
          </cell>
          <cell r="D2" t="str">
            <v>EDUCACION</v>
          </cell>
          <cell r="E2" t="str">
            <v xml:space="preserve">Garantizar el 100% de transporte escolar de estudiantes que su institución educativa más cercana supere los 3 kilómetros de distancia desde la vivienda. </v>
          </cell>
        </row>
        <row r="3">
          <cell r="A3" t="str">
            <v>META-002</v>
          </cell>
          <cell r="B3" t="str">
            <v>2024257770003</v>
          </cell>
          <cell r="C3" t="str">
            <v>POR EL SUPATÁ SOÑADO AVANZAMOS JUNTOS EN LA LÍNEA ESTRATÉGICA SOCIAL</v>
          </cell>
          <cell r="D3" t="str">
            <v>EDUCACION</v>
          </cell>
          <cell r="E3" t="str">
            <v>Garantizar la gratuidad en la educación en el 100% de las Instituciones y sedes Educativas del municipio.</v>
          </cell>
        </row>
        <row r="4">
          <cell r="A4" t="str">
            <v>META-003</v>
          </cell>
          <cell r="B4" t="str">
            <v>2024257770003</v>
          </cell>
          <cell r="C4" t="str">
            <v>POR EL SUPATÁ SOÑADO AVANZAMOS JUNTOS EN LA LÍNEA ESTRATÉGICA SOCIAL</v>
          </cell>
          <cell r="D4" t="str">
            <v>EDUCACION</v>
          </cell>
          <cell r="E4" t="str">
            <v>Mantener la cobertura al 100% y fortalecer el servicio de los estudiantes con el servicio de alimentación escolar</v>
          </cell>
        </row>
        <row r="5">
          <cell r="A5" t="str">
            <v>META-004</v>
          </cell>
          <cell r="B5" t="str">
            <v>2024257770003</v>
          </cell>
          <cell r="C5" t="str">
            <v>POR EL SUPATÁ SOÑADO AVANZAMOS JUNTOS EN LA LÍNEA ESTRATÉGICA SOCIAL</v>
          </cell>
          <cell r="D5" t="str">
            <v>EDUCACION</v>
          </cell>
          <cell r="E5" t="str">
            <v xml:space="preserve">Fortalecer una estrategia extra curricular en fomento del idioma ingles </v>
          </cell>
        </row>
        <row r="6">
          <cell r="A6" t="str">
            <v>META-005</v>
          </cell>
          <cell r="B6" t="str">
            <v>2024257770004</v>
          </cell>
          <cell r="C6" t="str">
            <v>POR EL SUPATÁ SOÑADO AVANZAMOS JUNTOS EN LA LÍNEA ESTRATÉGICA SOCIAL</v>
          </cell>
          <cell r="D6" t="str">
            <v>EDUCACION</v>
          </cell>
          <cell r="E6" t="str">
            <v>Realizar 1 dotación de menaje en restaurante escolar de las diferentes sedes de las instituciones Nuestra Señora de la Salud  y el Imparal.)</v>
          </cell>
        </row>
        <row r="7">
          <cell r="A7" t="str">
            <v>META-006</v>
          </cell>
          <cell r="B7" t="str">
            <v>2024257770004</v>
          </cell>
          <cell r="C7" t="str">
            <v>POR EL SUPATÁ SOÑADO AVANZAMOS JUNTOS EN LA LÍNEA ESTRATÉGICA SOCIAL</v>
          </cell>
          <cell r="D7" t="str">
            <v>EDUCACION</v>
          </cell>
          <cell r="E7" t="str">
            <v xml:space="preserve">Mejoramiento y/o mantenimiento en infraestructura de las instituciones educativas y sus sedes. </v>
          </cell>
        </row>
        <row r="8">
          <cell r="A8" t="str">
            <v>META-007</v>
          </cell>
          <cell r="B8" t="str">
            <v>2024257770005</v>
          </cell>
          <cell r="C8" t="str">
            <v>POR EL SUPATÁ SOÑADO AVANZAMOS JUNTOS EN LA LÍNEA ESTRATÉGICA SOCIAL</v>
          </cell>
          <cell r="D8" t="str">
            <v>EDUCACION</v>
          </cell>
          <cell r="E8" t="str">
            <v xml:space="preserve">Construir 1 Alianza con SENA o instituciones de Educación Superior para oferta educativa </v>
          </cell>
        </row>
        <row r="9">
          <cell r="A9" t="str">
            <v>META-008</v>
          </cell>
          <cell r="B9" t="str">
            <v>2024257770005</v>
          </cell>
          <cell r="C9" t="str">
            <v>POR EL SUPATÁ SOÑADO AVANZAMOS JUNTOS EN LA LÍNEA ESTRATÉGICA SOCIAL</v>
          </cell>
          <cell r="D9" t="str">
            <v>EDUCACION</v>
          </cell>
          <cell r="E9" t="str">
            <v>Realizar un (1) convenio anual con el Servicio Nacional de Aprendizaje –SENA-, para la implementación del Programa de Jóvenes Rurales (SENA Emprende Rural)</v>
          </cell>
        </row>
        <row r="10">
          <cell r="A10" t="str">
            <v>META-009</v>
          </cell>
          <cell r="B10" t="str">
            <v>2024257770005</v>
          </cell>
          <cell r="C10" t="str">
            <v>POR EL SUPATÁ SOÑADO AVANZAMOS JUNTOS EN LA LÍNEA ESTRATÉGICA SOCIAL</v>
          </cell>
          <cell r="D10" t="str">
            <v>EDUCACION</v>
          </cell>
          <cell r="E10" t="str">
            <v>Desarrollo de programa de mejoramiento de la calidad educativa PROMCE en minimo dos de sus componentes</v>
          </cell>
        </row>
        <row r="11">
          <cell r="A11" t="str">
            <v>META-010</v>
          </cell>
          <cell r="B11" t="str">
            <v>2024257770006</v>
          </cell>
          <cell r="C11" t="str">
            <v>POR EL SUPATÁ SOÑADO AVANZAMOS JUNTOS EN LA LÍNEA ESTRATÉGICA SOCIAL</v>
          </cell>
          <cell r="D11" t="str">
            <v>SALUD</v>
          </cell>
          <cell r="E11" t="str">
            <v>Aumentar al 90% la población beneficiada con la Estrategia de APS Municipal</v>
          </cell>
        </row>
        <row r="12">
          <cell r="A12" t="str">
            <v>META-011</v>
          </cell>
          <cell r="B12" t="str">
            <v>2024257770006</v>
          </cell>
          <cell r="C12" t="str">
            <v>POR EL SUPATÁ SOÑADO AVANZAMOS JUNTOS EN LA LÍNEA ESTRATÉGICA SOCIAL</v>
          </cell>
          <cell r="D12" t="str">
            <v>SALUD</v>
          </cell>
          <cell r="E12" t="str">
            <v xml:space="preserve">Implementar un plan de  acción de Participación Social en Salud  del Departamento  </v>
          </cell>
        </row>
        <row r="13">
          <cell r="A13" t="str">
            <v>META-012</v>
          </cell>
          <cell r="B13" t="str">
            <v>2024257770006</v>
          </cell>
          <cell r="C13" t="str">
            <v>POR EL SUPATÁ SOÑADO AVANZAMOS JUNTOS EN LA LÍNEA ESTRATÉGICA SOCIAL</v>
          </cell>
          <cell r="D13" t="str">
            <v>SALUD</v>
          </cell>
          <cell r="E13" t="str">
            <v>Gestionar la realizacion de jornadas de salud en la zona rural del municipio para el fortalecimiento de la atencion en el Nivel Primario, aplicacion de tamizajes y acciones de informacion, que incidan en el mantenimiento de la salud y la deteccion oportuna del riego de enfermedades en la poblacion.</v>
          </cell>
        </row>
        <row r="14">
          <cell r="A14" t="str">
            <v>META-013</v>
          </cell>
          <cell r="B14" t="str">
            <v>2024257770006</v>
          </cell>
          <cell r="C14" t="str">
            <v>POR EL SUPATÁ SOÑADO AVANZAMOS JUNTOS EN LA LÍNEA ESTRATÉGICA SOCIAL</v>
          </cell>
          <cell r="D14" t="str">
            <v>SALUD</v>
          </cell>
          <cell r="E14" t="str">
            <v>Aumentar en un 80% las actividades de educación y canalización del riesgo de enfermedades visuales, bucales y auditividas, a través de la aplicación de instrumentos de APS en las visitas de detección del riesgo en el ámbito familiar; garantizando la atención de la población en el marco de la ruta de promoción y mantenimiento de la salud.</v>
          </cell>
        </row>
        <row r="15">
          <cell r="A15" t="str">
            <v>META-014</v>
          </cell>
          <cell r="B15" t="str">
            <v>2024257770006</v>
          </cell>
          <cell r="C15" t="str">
            <v>POR EL SUPATÁ SOÑADO AVANZAMOS JUNTOS EN LA LÍNEA ESTRATÉGICA SOCIAL</v>
          </cell>
          <cell r="D15" t="str">
            <v>SALUD</v>
          </cell>
          <cell r="E15" t="str">
            <v>Incrementar en un 10% la identificación de personas con riesgo de enfermedad cardiovascular, crónica, nutricional y no transmisibles, a fin  de aumentar la cobertura y atención oportuna.</v>
          </cell>
        </row>
        <row r="16">
          <cell r="A16" t="str">
            <v>META-015</v>
          </cell>
          <cell r="B16" t="str">
            <v>2024257770006</v>
          </cell>
          <cell r="C16" t="str">
            <v>POR EL SUPATÁ SOÑADO AVANZAMOS JUNTOS EN LA LÍNEA ESTRATÉGICA SOCIAL</v>
          </cell>
          <cell r="D16" t="str">
            <v>SALUD</v>
          </cell>
          <cell r="E16" t="str">
            <v>Construcción de 1 política pública en salud mental.</v>
          </cell>
        </row>
        <row r="17">
          <cell r="A17" t="str">
            <v>META-016</v>
          </cell>
          <cell r="B17" t="str">
            <v>2024257770006</v>
          </cell>
          <cell r="C17" t="str">
            <v>POR EL SUPATÁ SOÑADO AVANZAMOS JUNTOS EN LA LÍNEA ESTRATÉGICA SOCIAL</v>
          </cell>
          <cell r="D17" t="str">
            <v>SALUD</v>
          </cell>
          <cell r="E17" t="str">
            <v>Generar planes de prevencion para reducir la incidencia de violencia basadas en genero y hechos de violencia intrafamiliar; asi como el consumo y la oferta de sustancias psicoactivas - SPA, en el marco de la promocion de la salud mental.</v>
          </cell>
        </row>
        <row r="18">
          <cell r="A18" t="str">
            <v>META-017</v>
          </cell>
          <cell r="B18" t="str">
            <v>2024257770006</v>
          </cell>
          <cell r="C18" t="str">
            <v>POR EL SUPATÁ SOÑADO AVANZAMOS JUNTOS EN LA LÍNEA ESTRATÉGICA SOCIAL</v>
          </cell>
          <cell r="D18" t="str">
            <v>SALUD</v>
          </cell>
          <cell r="E18" t="str">
            <v>Mantener la mortalidad evitable en cero para poblacion infantil y las maternas del municipio de Supata, a traves del seguimiento al 100% de menores de 5 años y gestantes con alto riesgo por malnutricion y otras condiciones.</v>
          </cell>
        </row>
        <row r="19">
          <cell r="A19" t="str">
            <v>META-018</v>
          </cell>
          <cell r="B19" t="str">
            <v>2024257770006</v>
          </cell>
          <cell r="C19" t="str">
            <v>POR EL SUPATÁ SOÑADO AVANZAMOS JUNTOS EN LA LÍNEA ESTRATÉGICA SOCIAL</v>
          </cell>
          <cell r="D19" t="str">
            <v>SALUD</v>
          </cell>
          <cell r="E19" t="str">
            <v>Adoptar en un 90% la Política Pública Departamental de Seguridad Alimentaria y Nutricional</v>
          </cell>
        </row>
        <row r="20">
          <cell r="A20" t="str">
            <v>META-019</v>
          </cell>
          <cell r="B20" t="str">
            <v>2024257770006</v>
          </cell>
          <cell r="C20" t="str">
            <v>POR EL SUPATÁ SOÑADO AVANZAMOS JUNTOS EN LA LÍNEA ESTRATÉGICA SOCIAL</v>
          </cell>
          <cell r="D20" t="str">
            <v>SALUD</v>
          </cell>
          <cell r="E20" t="str">
            <v xml:space="preserve">Promover que el  95% de las mujeres gestantes del municipio tengan  4 o más controles prenatales, en el marco de la Ruta de Atención Integral Materno Perinatal </v>
          </cell>
        </row>
        <row r="21">
          <cell r="A21" t="str">
            <v>META-020</v>
          </cell>
          <cell r="B21" t="str">
            <v>2024257770006</v>
          </cell>
          <cell r="C21" t="str">
            <v>POR EL SUPATÁ SOÑADO AVANZAMOS JUNTOS EN LA LÍNEA ESTRATÉGICA SOCIAL</v>
          </cell>
          <cell r="D21" t="str">
            <v>SALUD</v>
          </cell>
          <cell r="E21" t="str">
            <v>Implementar y adoptar al 100% la ruta de atencion integral para victimas de violencias de genero.</v>
          </cell>
        </row>
        <row r="22">
          <cell r="A22" t="str">
            <v>META-021</v>
          </cell>
          <cell r="B22" t="str">
            <v>2024257770006</v>
          </cell>
          <cell r="C22" t="str">
            <v>POR EL SUPATÁ SOÑADO AVANZAMOS JUNTOS EN LA LÍNEA ESTRATÉGICA SOCIAL</v>
          </cell>
          <cell r="D22" t="str">
            <v>SALUD</v>
          </cell>
          <cell r="E22" t="str">
            <v xml:space="preserve">Alcanzar  al 80%  de las familias con estrategias de prevención y cuidado adecuado de enfermedades transmitidas por vía aérea o de contacto directo (IRA, TUBERCULOSIS; HANSEN, COVID 19) desde un enfoque comunitario. </v>
          </cell>
        </row>
        <row r="23">
          <cell r="A23" t="str">
            <v>META-022</v>
          </cell>
          <cell r="B23" t="str">
            <v>2024257770006</v>
          </cell>
          <cell r="C23" t="str">
            <v>POR EL SUPATÁ SOÑADO AVANZAMOS JUNTOS EN LA LÍNEA ESTRATÉGICA SOCIAL</v>
          </cell>
          <cell r="D23" t="str">
            <v>SALUD</v>
          </cell>
          <cell r="E23" t="str">
            <v xml:space="preserve">realizar 4 Jornadas anuales de vacunación extramurales que nos permitan llegar a toda la población del territorio y así aumentar cobertura de vacunación. </v>
          </cell>
        </row>
        <row r="24">
          <cell r="A24" t="str">
            <v>META-023</v>
          </cell>
          <cell r="B24" t="str">
            <v>2024257770006</v>
          </cell>
          <cell r="C24" t="str">
            <v>POR EL SUPATÁ SOÑADO AVANZAMOS JUNTOS EN LA LÍNEA ESTRATÉGICA SOCIAL</v>
          </cell>
          <cell r="D24" t="str">
            <v>SALUD</v>
          </cell>
          <cell r="E24" t="str">
            <v xml:space="preserve">Generar estrategias para la promoción de los Estilos, modos y condiciones saludables en el entorno laboral </v>
          </cell>
        </row>
        <row r="25">
          <cell r="A25" t="str">
            <v>META-024</v>
          </cell>
          <cell r="B25" t="str">
            <v>2024257770006</v>
          </cell>
          <cell r="C25" t="str">
            <v>POR EL SUPATÁ SOÑADO AVANZAMOS JUNTOS EN LA LÍNEA ESTRATÉGICA SOCIAL</v>
          </cell>
          <cell r="D25" t="str">
            <v>SALUD</v>
          </cell>
          <cell r="E25" t="str">
            <v xml:space="preserve">Implementar en un 100% la estrategia AIEPI, para el desarrollo integral de los niños y niñas del municipio. </v>
          </cell>
        </row>
        <row r="26">
          <cell r="A26" t="str">
            <v>META-025</v>
          </cell>
          <cell r="B26" t="str">
            <v>2024257770006</v>
          </cell>
          <cell r="C26" t="str">
            <v>POR EL SUPATÁ SOÑADO AVANZAMOS JUNTOS EN LA LÍNEA ESTRATÉGICA SOCIAL</v>
          </cell>
          <cell r="D26" t="str">
            <v>SALUD</v>
          </cell>
          <cell r="E26" t="str">
            <v>Adoptar y  adaptar en un 100%  la política pública desdelas acciones  SALUD e envejecimiento y vejez  departamental conforme a los lineamientos y desarrollos técnicos definidos por el Ministerio de Salud y Protección Social.</v>
          </cell>
        </row>
        <row r="27">
          <cell r="A27" t="str">
            <v>META-026</v>
          </cell>
          <cell r="B27" t="str">
            <v>2024257770006</v>
          </cell>
          <cell r="C27" t="str">
            <v>POR EL SUPATÁ SOÑADO AVANZAMOS JUNTOS EN LA LÍNEA ESTRATÉGICA SOCIAL</v>
          </cell>
          <cell r="D27" t="str">
            <v>SALUD</v>
          </cell>
          <cell r="E27" t="str">
            <v xml:space="preserve">Implementar las acciones correspondientes a la garantia de acceso salud descritas en la  Política Pública Municipal de Discapacidad  de los territorios rurales,  rurales dispersos y urbanos del municipio </v>
          </cell>
        </row>
        <row r="28">
          <cell r="A28" t="str">
            <v>META-027</v>
          </cell>
          <cell r="B28" t="str">
            <v>2024257770006</v>
          </cell>
          <cell r="C28" t="str">
            <v>POR EL SUPATÁ SOÑADO AVANZAMOS JUNTOS EN LA LÍNEA ESTRATÉGICA SOCIAL</v>
          </cell>
          <cell r="D28" t="str">
            <v>SALUD</v>
          </cell>
          <cell r="E28" t="str">
            <v>Garantizar el desarrollo en un  100% de los  Sistemas de  información y vigilancia epidemiológica del municipio.</v>
          </cell>
        </row>
        <row r="29">
          <cell r="A29" t="str">
            <v>META-028</v>
          </cell>
          <cell r="B29" t="str">
            <v>2024257770006</v>
          </cell>
          <cell r="C29" t="str">
            <v>POR EL SUPATÁ SOÑADO AVANZAMOS JUNTOS EN LA LÍNEA ESTRATÉGICA SOCIAL</v>
          </cell>
          <cell r="D29" t="str">
            <v>SALUD</v>
          </cell>
          <cell r="E29" t="str">
            <v>Fortalecer el programa de seguridad de riesgos laborales y salud en el trabajo</v>
          </cell>
        </row>
        <row r="30">
          <cell r="A30" t="str">
            <v>META-029</v>
          </cell>
          <cell r="B30" t="str">
            <v>2024257770007</v>
          </cell>
          <cell r="C30" t="str">
            <v>POR EL SUPATÁ SOÑADO AVANZAMOS JUNTOS EN LA LÍNEA ESTRATÉGICA SOCIAL</v>
          </cell>
          <cell r="D30" t="str">
            <v>SALUD</v>
          </cell>
          <cell r="E30" t="str">
            <v>Gestionar un centro de atención primario en salud rural</v>
          </cell>
        </row>
        <row r="31">
          <cell r="A31" t="str">
            <v>META-030</v>
          </cell>
          <cell r="B31" t="str">
            <v>2024257770007</v>
          </cell>
          <cell r="C31" t="str">
            <v>POR EL SUPATÁ SOÑADO AVANZAMOS JUNTOS EN LA LÍNEA ESTRATÉGICA SOCIAL</v>
          </cell>
          <cell r="D31" t="str">
            <v>SALUD</v>
          </cell>
          <cell r="E31" t="str">
            <v>Garantizar la operatividad de los programas en salud</v>
          </cell>
        </row>
        <row r="32">
          <cell r="A32" t="str">
            <v>META-031</v>
          </cell>
          <cell r="B32" t="str">
            <v>2024257770007</v>
          </cell>
          <cell r="C32" t="str">
            <v>POR EL SUPATÁ SOÑADO AVANZAMOS JUNTOS EN LA LÍNEA ESTRATÉGICA SOCIAL</v>
          </cell>
          <cell r="D32" t="str">
            <v>SALUD</v>
          </cell>
          <cell r="E32" t="str">
            <v>Garantizar el acceso a la salud para población vinculada al régimen  Subsidiado</v>
          </cell>
        </row>
        <row r="33">
          <cell r="A33" t="str">
            <v>META-032</v>
          </cell>
          <cell r="B33" t="str">
            <v>202500000008110</v>
          </cell>
          <cell r="C33" t="str">
            <v>POR EL SUPATÁ SOÑADO AVANZAMOS JUNTOS EN LA LÍNEA ESTRATÉGICA SOCIAL</v>
          </cell>
          <cell r="D33" t="str">
            <v>SALUD</v>
          </cell>
          <cell r="E33" t="str">
            <v xml:space="preserve">Garantizar  el seguimiento al 100% de las EPS e IPS Presentes en el municipio, para la garantía de la calidad de los servicios de salud </v>
          </cell>
        </row>
        <row r="34">
          <cell r="A34" t="str">
            <v>META-033</v>
          </cell>
          <cell r="B34" t="str">
            <v>2024257770009</v>
          </cell>
          <cell r="C34" t="str">
            <v>POR EL SUPATÁ SOÑADO AVANZAMOS JUNTOS EN LA LÍNEA ESTRATÉGICA SOCIAL</v>
          </cell>
          <cell r="D34" t="str">
            <v>CULTURA</v>
          </cell>
          <cell r="E34" t="str">
            <v>Mantener las 3 escuelas de formacion cultural durante el cuatrenio</v>
          </cell>
        </row>
        <row r="35">
          <cell r="A35" t="str">
            <v>META-034</v>
          </cell>
          <cell r="B35" t="str">
            <v>2024257770009</v>
          </cell>
          <cell r="C35" t="str">
            <v>POR EL SUPATÁ SOÑADO AVANZAMOS JUNTOS EN LA LÍNEA ESTRATÉGICA SOCIAL</v>
          </cell>
          <cell r="D35" t="str">
            <v>CULTURA</v>
          </cell>
          <cell r="E35" t="str">
            <v>Realizar (4) Dotaciones a las escuelas de formación cultural</v>
          </cell>
        </row>
        <row r="36">
          <cell r="A36" t="str">
            <v>META-035</v>
          </cell>
          <cell r="B36" t="str">
            <v>2024257770009</v>
          </cell>
          <cell r="C36" t="str">
            <v>POR EL SUPATÁ SOÑADO AVANZAMOS JUNTOS EN LA LÍNEA ESTRATÉGICA SOCIAL</v>
          </cell>
          <cell r="D36" t="str">
            <v>CULTURA</v>
          </cell>
          <cell r="E36" t="str">
            <v>Organizar 4 eventos artísticos y culturales anualmente</v>
          </cell>
        </row>
        <row r="37">
          <cell r="A37" t="str">
            <v>META-036</v>
          </cell>
          <cell r="B37" t="str">
            <v>2024257770009</v>
          </cell>
          <cell r="C37" t="str">
            <v>POR EL SUPATÁ SOÑADO AVANZAMOS JUNTOS EN LA LÍNEA ESTRATÉGICA SOCIAL</v>
          </cell>
          <cell r="D37" t="str">
            <v>CULTURA</v>
          </cell>
          <cell r="E37" t="str">
            <v>Realizar apoyo y/o Dotación en la ludoteca municipal en materiales lúdico-pedagógicos.</v>
          </cell>
        </row>
        <row r="38">
          <cell r="A38" t="str">
            <v>META-037</v>
          </cell>
          <cell r="B38" t="str">
            <v>2024257770009</v>
          </cell>
          <cell r="C38" t="str">
            <v>POR EL SUPATÁ SOÑADO AVANZAMOS JUNTOS EN LA LÍNEA ESTRATÉGICA SOCIAL</v>
          </cell>
          <cell r="D38" t="str">
            <v>CULTURA</v>
          </cell>
          <cell r="E38" t="str">
            <v>Realizar mantenimientos y/o adecuaciones de los escenarios culturales del municipio.</v>
          </cell>
        </row>
        <row r="39">
          <cell r="A39" t="str">
            <v>META-038</v>
          </cell>
          <cell r="B39" t="str">
            <v>2024257770009</v>
          </cell>
          <cell r="C39" t="str">
            <v>POR EL SUPATÁ SOÑADO AVANZAMOS JUNTOS EN LA LÍNEA ESTRATÉGICA SOCIAL</v>
          </cell>
          <cell r="D39" t="str">
            <v>CULTURA</v>
          </cell>
          <cell r="E39" t="str">
            <v>Garantizar el correcto funcionamiento anual de la biblioteca municipal</v>
          </cell>
        </row>
        <row r="40">
          <cell r="A40" t="str">
            <v>META-039</v>
          </cell>
          <cell r="B40" t="str">
            <v>2024257770009</v>
          </cell>
          <cell r="C40" t="str">
            <v>POR EL SUPATÁ SOÑADO AVANZAMOS JUNTOS EN LA LÍNEA ESTRATÉGICA SOCIAL</v>
          </cell>
          <cell r="D40" t="str">
            <v>CULTURA</v>
          </cell>
          <cell r="E40" t="str">
            <v xml:space="preserve">Reconocimiento y dignificación de los gestores culturales y artistas locales. 
</v>
          </cell>
        </row>
        <row r="41">
          <cell r="A41" t="str">
            <v>META-040</v>
          </cell>
          <cell r="B41" t="str">
            <v>2024257770010</v>
          </cell>
          <cell r="C41" t="str">
            <v>POR EL SUPATÁ SOÑADO AVANZAMOS JUNTOS EN LA LÍNEA ESTRATÉGICA SOCIAL</v>
          </cell>
          <cell r="D41" t="str">
            <v>RECREACION Y DEPROTE</v>
          </cell>
          <cell r="E41" t="str">
            <v>Mantener las 4 escuelas de formacion deportiva y recreativa  en el municipio</v>
          </cell>
        </row>
        <row r="42">
          <cell r="A42" t="str">
            <v>META-041</v>
          </cell>
          <cell r="B42" t="str">
            <v>2024257770010</v>
          </cell>
          <cell r="C42" t="str">
            <v>POR EL SUPATÁ SOÑADO AVANZAMOS JUNTOS EN LA LÍNEA ESTRATÉGICA SOCIAL</v>
          </cell>
          <cell r="D42" t="str">
            <v>RECREACION Y DEPROTE</v>
          </cell>
          <cell r="E42" t="str">
            <v>Implementar  una (1) escuela de formación deportiva en la zona rural.</v>
          </cell>
        </row>
        <row r="43">
          <cell r="A43" t="str">
            <v>META-042</v>
          </cell>
          <cell r="B43" t="str">
            <v>2024257770010</v>
          </cell>
          <cell r="C43" t="str">
            <v>POR EL SUPATÁ SOÑADO AVANZAMOS JUNTOS EN LA LÍNEA ESTRATÉGICA SOCIAL</v>
          </cell>
          <cell r="D43" t="str">
            <v>RECREACION Y DEPROTE</v>
          </cell>
          <cell r="E43" t="str">
            <v>Mejorar y mantener  3 escenarios recreo-deportivos  del municipio, durante el periodo de gobierno.</v>
          </cell>
        </row>
        <row r="44">
          <cell r="A44" t="str">
            <v>META-043</v>
          </cell>
          <cell r="B44" t="str">
            <v>2024257770010</v>
          </cell>
          <cell r="C44" t="str">
            <v>POR EL SUPATÁ SOÑADO AVANZAMOS JUNTOS EN LA LÍNEA ESTRATÉGICA SOCIAL</v>
          </cell>
          <cell r="D44" t="str">
            <v>RECREACION Y DEPROTE</v>
          </cell>
          <cell r="E44" t="str">
            <v>Realizar 7 eventos deportivos y/o recreativos en el municipio</v>
          </cell>
        </row>
        <row r="45">
          <cell r="A45" t="str">
            <v>META-044</v>
          </cell>
          <cell r="B45" t="str">
            <v>2024257770010</v>
          </cell>
          <cell r="C45" t="str">
            <v>POR EL SUPATÁ SOÑADO AVANZAMOS JUNTOS EN LA LÍNEA ESTRATÉGICA SOCIAL</v>
          </cell>
          <cell r="D45" t="str">
            <v>RECREACION Y DEPROTE</v>
          </cell>
          <cell r="E45" t="str">
            <v>Servicio de organización de eventos recreativos comunitarios</v>
          </cell>
        </row>
        <row r="46">
          <cell r="A46" t="str">
            <v>META-045</v>
          </cell>
          <cell r="B46" t="str">
            <v>2024257770010</v>
          </cell>
          <cell r="C46" t="str">
            <v>POR EL SUPATÁ SOÑADO AVANZAMOS JUNTOS EN LA LÍNEA ESTRATÉGICA SOCIAL</v>
          </cell>
          <cell r="D46" t="str">
            <v>RECREACION Y DEPROTE</v>
          </cell>
          <cell r="E46" t="str">
            <v>Realizar dotacion de implementos deportivos para la formacion deportiva y recreativa</v>
          </cell>
        </row>
        <row r="47">
          <cell r="A47" t="str">
            <v>META-046</v>
          </cell>
          <cell r="B47" t="str">
            <v>2024257770010</v>
          </cell>
          <cell r="C47" t="str">
            <v>POR EL SUPATÁ SOÑADO AVANZAMOS JUNTOS EN LA LÍNEA ESTRATÉGICA SOCIAL</v>
          </cell>
          <cell r="D47" t="str">
            <v>RECREACION Y DEPROTE</v>
          </cell>
          <cell r="E47" t="str">
            <v>Realizar 2 estudios y diseños para infraestructura deportiva y recreativa en el municipio</v>
          </cell>
        </row>
        <row r="48">
          <cell r="A48" t="str">
            <v>META-047</v>
          </cell>
          <cell r="B48" t="str">
            <v>2024257770011</v>
          </cell>
          <cell r="C48" t="str">
            <v>POR EL SUPATÁ SOÑADO AVANZAMOS JUNTOS EN LA LÍNEA ESTRATÉGICA SOCIAL</v>
          </cell>
          <cell r="D48" t="str">
            <v>POBLACIÓN VULNERABLE - VCA</v>
          </cell>
          <cell r="E48" t="str">
            <v xml:space="preserve">Realizar anualmente los tramites pertinentes para ayuda humanitaria </v>
          </cell>
        </row>
        <row r="49">
          <cell r="A49" t="str">
            <v>META-048</v>
          </cell>
          <cell r="B49" t="str">
            <v>2024257770011</v>
          </cell>
          <cell r="C49" t="str">
            <v>POR EL SUPATÁ SOÑADO AVANZAMOS JUNTOS EN LA LÍNEA ESTRATÉGICA SOCIAL</v>
          </cell>
          <cell r="D49" t="str">
            <v>POBLACIÓN VULNERABLE - VCA</v>
          </cell>
          <cell r="E49" t="str">
            <v xml:space="preserve">Garantizar 4 mesas  tecnicas municipales de participacion de victimas </v>
          </cell>
        </row>
        <row r="50">
          <cell r="A50" t="str">
            <v>META-049</v>
          </cell>
          <cell r="B50" t="str">
            <v>2024257770011</v>
          </cell>
          <cell r="C50" t="str">
            <v>POR EL SUPATÁ SOÑADO AVANZAMOS JUNTOS EN LA LÍNEA ESTRATÉGICA SOCIAL</v>
          </cell>
          <cell r="D50" t="str">
            <v>POBLACIÓN VULNERABLE - VCA</v>
          </cell>
          <cell r="E50" t="str">
            <v xml:space="preserve">Orotgar 1 Auxilios funerarios a población víctima </v>
          </cell>
        </row>
        <row r="51">
          <cell r="A51" t="str">
            <v>META-050</v>
          </cell>
          <cell r="B51" t="str">
            <v>2024257770011</v>
          </cell>
          <cell r="C51" t="str">
            <v>POR EL SUPATÁ SOÑADO AVANZAMOS JUNTOS EN LA LÍNEA ESTRATÉGICA SOCIAL</v>
          </cell>
          <cell r="D51" t="str">
            <v>POBLACIÓN VULNERABLE - VCA</v>
          </cell>
          <cell r="E51" t="str">
            <v>Elaborar la politica publica de victimas local ($0)</v>
          </cell>
        </row>
        <row r="52">
          <cell r="A52" t="str">
            <v>META-051</v>
          </cell>
          <cell r="B52" t="str">
            <v>2024257770011</v>
          </cell>
          <cell r="C52" t="str">
            <v>POR EL SUPATÁ SOÑADO AVANZAMOS JUNTOS EN LA LÍNEA ESTRATÉGICA SOCIAL</v>
          </cell>
          <cell r="D52" t="str">
            <v>POBLACIÓN VULNERABLE - VCA</v>
          </cell>
          <cell r="E52" t="str">
            <v xml:space="preserve">Realizar 4 proyectos productivos para la generación de ingresos victima del conflicto armado </v>
          </cell>
        </row>
        <row r="53">
          <cell r="A53" t="str">
            <v>META-052</v>
          </cell>
          <cell r="B53" t="str">
            <v>2024257770011</v>
          </cell>
          <cell r="C53" t="str">
            <v>POR EL SUPATÁ SOÑADO AVANZAMOS JUNTOS EN LA LÍNEA ESTRATÉGICA SOCIAL</v>
          </cell>
          <cell r="D53" t="str">
            <v>POBLACIÓN VULNERABLE - VCA</v>
          </cell>
          <cell r="E53" t="str">
            <v>Realizar 2 jornadas de caracterizacion municipal de victimas $0</v>
          </cell>
        </row>
        <row r="54">
          <cell r="A54" t="str">
            <v>META-053</v>
          </cell>
          <cell r="B54" t="str">
            <v>2024257770011</v>
          </cell>
          <cell r="C54" t="str">
            <v>POR EL SUPATÁ SOÑADO AVANZAMOS JUNTOS EN LA LÍNEA ESTRATÉGICA SOCIAL</v>
          </cell>
          <cell r="D54" t="str">
            <v>POBLACIÓN VULNERABLE - VCA</v>
          </cell>
          <cell r="E54" t="str">
            <v xml:space="preserve">Conmemoracion del dia nacional de la memoria y la solidaridad con las victimas </v>
          </cell>
        </row>
        <row r="55">
          <cell r="A55" t="str">
            <v>META-054</v>
          </cell>
          <cell r="B55" t="str">
            <v>2024257770012</v>
          </cell>
          <cell r="C55" t="str">
            <v>POR EL SUPATÁ SOÑADO AVANZAMOS JUNTOS EN LA LÍNEA ESTRATÉGICA SOCIAL</v>
          </cell>
          <cell r="D55" t="str">
            <v>POBLACIÓN VULNERABLE - CAPITULO PRIMERA INFANCIA, INFANCIA, ADOLESCENCIA Y JUVENTUD</v>
          </cell>
          <cell r="E55" t="str">
            <v>Realizar cuatro (4) campañas de educación sexual y derechos reproductivos a los adolescentes y jovenes del municipio</v>
          </cell>
        </row>
        <row r="56">
          <cell r="A56" t="str">
            <v>META-055</v>
          </cell>
          <cell r="B56" t="str">
            <v>2024257770012</v>
          </cell>
          <cell r="C56" t="str">
            <v>POR EL SUPATÁ SOÑADO AVANZAMOS JUNTOS EN LA LÍNEA ESTRATÉGICA SOCIAL</v>
          </cell>
          <cell r="D56" t="str">
            <v>POBLACIÓN VULNERABLE - CAPITULO PRIMERA INFANCIA, INFANCIA, ADOLESCENCIA Y JUVENTUD</v>
          </cell>
          <cell r="E56" t="str">
            <v>Realizar cuatro (4) campañas de prevencion de embarazado en mujeres adolescentes</v>
          </cell>
        </row>
        <row r="57">
          <cell r="A57" t="str">
            <v>META-056</v>
          </cell>
          <cell r="B57" t="str">
            <v>2024257770012</v>
          </cell>
          <cell r="C57" t="str">
            <v>POR EL SUPATÁ SOÑADO AVANZAMOS JUNTOS EN LA LÍNEA ESTRATÉGICA SOCIAL</v>
          </cell>
          <cell r="D57" t="str">
            <v>POBLACIÓN VULNERABLE - CAPITULO PRIMERA INFANCIA, INFANCIA, ADOLESCENCIA Y JUVENTUD</v>
          </cell>
        </row>
        <row r="58">
          <cell r="A58" t="str">
            <v>META-057</v>
          </cell>
          <cell r="B58" t="str">
            <v>2024257770012</v>
          </cell>
          <cell r="C58" t="str">
            <v>POR EL SUPATÁ SOÑADO AVANZAMOS JUNTOS EN LA LÍNEA ESTRATÉGICA SOCIAL</v>
          </cell>
          <cell r="D58" t="str">
            <v>POBLACIÓN VULNERABLE - CAPITULO PRIMERA INFANCIA, INFANCIA, ADOLESCENCIA Y JUVENTUD</v>
          </cell>
          <cell r="E58" t="str">
            <v>Realizar cuatro (4) talleres en reconocimiento de los derechos de niños, niñas y adolescentes</v>
          </cell>
        </row>
        <row r="59">
          <cell r="A59" t="str">
            <v>META-058</v>
          </cell>
          <cell r="B59" t="str">
            <v>2024257770012</v>
          </cell>
          <cell r="C59" t="str">
            <v>POR EL SUPATÁ SOÑADO AVANZAMOS JUNTOS EN LA LÍNEA ESTRATÉGICA SOCIAL</v>
          </cell>
          <cell r="D59" t="str">
            <v>POBLACIÓN VULNERABLE - CAPITULO PRIMERA INFANCIA, INFANCIA, ADOLESCENCIA Y JUVENTUD</v>
          </cell>
          <cell r="E59" t="str">
            <v>Realizar cuatro (4) campañas para la proteccioón y prevención del maltrato infantil</v>
          </cell>
        </row>
        <row r="60">
          <cell r="A60" t="str">
            <v>META-059</v>
          </cell>
          <cell r="B60" t="str">
            <v>2024257770012</v>
          </cell>
          <cell r="C60" t="str">
            <v>POR EL SUPATÁ SOÑADO AVANZAMOS JUNTOS EN LA LÍNEA ESTRATÉGICA SOCIAL</v>
          </cell>
          <cell r="D60" t="str">
            <v>POBLACIÓN VULNERABLE - CAPITULO PRIMERA INFANCIA, INFANCIA, ADOLESCENCIA Y JUVENTUD</v>
          </cell>
          <cell r="E60" t="str">
            <v>Realizar dotacion en material pedagógico para los programas de atención de primera infancia</v>
          </cell>
        </row>
        <row r="61">
          <cell r="A61" t="str">
            <v>META-060</v>
          </cell>
          <cell r="B61" t="str">
            <v>2024257770012</v>
          </cell>
          <cell r="C61" t="str">
            <v>POR EL SUPATÁ SOÑADO AVANZAMOS JUNTOS EN LA LÍNEA ESTRATÉGICA SOCIAL</v>
          </cell>
          <cell r="D61" t="str">
            <v>POBLACIÓN VULNERABLE - CAPITULO PRIMERA INFANCIA, INFANCIA, ADOLESCENCIA Y JUVENTUD</v>
          </cell>
          <cell r="E61" t="str">
            <v>Realizar cuatro (4) campañas para el fortalecimiento familiar en el municipio</v>
          </cell>
        </row>
        <row r="62">
          <cell r="A62" t="str">
            <v>META-061</v>
          </cell>
          <cell r="B62" t="str">
            <v>2024257770012</v>
          </cell>
          <cell r="C62" t="str">
            <v>POR EL SUPATÁ SOÑADO AVANZAMOS JUNTOS EN LA LÍNEA ESTRATÉGICA SOCIAL</v>
          </cell>
          <cell r="D62" t="str">
            <v>POBLACIÓN VULNERABLE - CAPITULO PRIMERA INFANCIA, INFANCIA, ADOLESCENCIA Y JUVENTUD</v>
          </cell>
          <cell r="E62" t="str">
            <v>Realizar las acciones necesarias para el aumento de 1 unidad o cupos en la atención del programa “Educación Rural Dispersa”. (VERIFICAR SI ES META DE PRIMERA INFANCIA)</v>
          </cell>
        </row>
        <row r="63">
          <cell r="A63" t="str">
            <v>META-062</v>
          </cell>
          <cell r="B63" t="str">
            <v>2024257770012</v>
          </cell>
          <cell r="C63" t="str">
            <v>POR EL SUPATÁ SOÑADO AVANZAMOS JUNTOS EN LA LÍNEA ESTRATÉGICA SOCIAL</v>
          </cell>
          <cell r="D63" t="str">
            <v>POBLACIÓN VULNERABLE - CAPITULO PRIMERA INFANCIA, INFANCIA, ADOLESCENCIA Y JUVENTUD</v>
          </cell>
          <cell r="E63" t="str">
            <v>Realizar campañas anuales para la prevención de la conducta suicida, en niños, niñas, adolescentes y jovenes</v>
          </cell>
        </row>
        <row r="64">
          <cell r="A64" t="str">
            <v>META-063</v>
          </cell>
          <cell r="B64" t="str">
            <v>2024257770012</v>
          </cell>
          <cell r="C64" t="str">
            <v>POR EL SUPATÁ SOÑADO AVANZAMOS JUNTOS EN LA LÍNEA ESTRATÉGICA SOCIAL</v>
          </cell>
          <cell r="D64" t="str">
            <v>POBLACIÓN VULNERABLE - CAPITULO PRIMERA INFANCIA, INFANCIA, ADOLESCENCIA Y JUVENTUD</v>
          </cell>
          <cell r="E64" t="str">
            <v>Mantener a 100 niños de 0 a 5 años en establecimientos de educación inicial</v>
          </cell>
        </row>
        <row r="65">
          <cell r="A65" t="str">
            <v>META-064</v>
          </cell>
          <cell r="B65" t="str">
            <v>2024257770012</v>
          </cell>
          <cell r="C65" t="str">
            <v>POR EL SUPATÁ SOÑADO AVANZAMOS JUNTOS EN LA LÍNEA ESTRATÉGICA SOCIAL</v>
          </cell>
          <cell r="D65" t="str">
            <v>POBLACIÓN VULNERABLE - CAPITULO PRIMERA INFANCIA, INFANCIA, ADOLESCENCIA Y JUVENTUD</v>
          </cell>
          <cell r="E65" t="str">
            <v>Implementar un programa de apoyo integral a la juventud</v>
          </cell>
        </row>
        <row r="66">
          <cell r="A66" t="str">
            <v>META-065</v>
          </cell>
          <cell r="B66" t="str">
            <v>2024257770013</v>
          </cell>
          <cell r="C66" t="str">
            <v>POR EL SUPATÁ SOÑADO AVANZAMOS JUNTOS EN LA LÍNEA ESTRATÉGICA SOCIAL</v>
          </cell>
          <cell r="D66" t="str">
            <v>POBLACIÓN VULNERABLE- CAPITULO MUJER Y GENERO</v>
          </cell>
          <cell r="E66" t="str">
            <v>Construcción de (1)  centro de innovación empresarial casa social de la mujer.</v>
          </cell>
        </row>
        <row r="67">
          <cell r="A67" t="str">
            <v>META-066</v>
          </cell>
          <cell r="B67" t="str">
            <v>2024257770013</v>
          </cell>
          <cell r="C67" t="str">
            <v>POR EL SUPATÁ SOÑADO AVANZAMOS JUNTOS EN LA LÍNEA ESTRATÉGICA SOCIAL</v>
          </cell>
          <cell r="D67" t="str">
            <v>POBLACIÓN VULNERABLE- CAPITULO MUJER Y GENERO</v>
          </cell>
          <cell r="E67" t="str">
            <v>Realizar anualmente mecanismos para la articulacion, actualización, reactivación y seguimiento de las actividades del Consejo Consultivo de Mujeres, como instancia de representación de sus necesidades e interés</v>
          </cell>
        </row>
        <row r="68">
          <cell r="A68" t="str">
            <v>META-067</v>
          </cell>
          <cell r="B68" t="str">
            <v>2024257770014</v>
          </cell>
          <cell r="C68" t="str">
            <v>POR EL SUPATÁ SOÑADO AVANZAMOS JUNTOS EN LA LÍNEA ESTRATÉGICA SOCIAL</v>
          </cell>
          <cell r="D68" t="str">
            <v>POBLACIÓN VULNERABLE - CAPITULO ADULTO MAYOR</v>
          </cell>
          <cell r="E68" t="str">
            <v>Mentener el Programa Centro Día Urbano y rural para el beneficio</v>
          </cell>
        </row>
        <row r="69">
          <cell r="A69" t="str">
            <v>META-068</v>
          </cell>
          <cell r="B69" t="str">
            <v>2024257770014</v>
          </cell>
          <cell r="C69" t="str">
            <v>POR EL SUPATÁ SOÑADO AVANZAMOS JUNTOS EN LA LÍNEA ESTRATÉGICA SOCIAL</v>
          </cell>
          <cell r="D69" t="str">
            <v>POBLACIÓN VULNERABLE - CAPITULO ADULTO MAYOR</v>
          </cell>
          <cell r="E69" t="str">
            <v>Garantizar la atención integral e institucional de adultos mayores con vulnerabilidad social en el centro de bienestar del adulto mayor "Maria Auxiliadora".</v>
          </cell>
        </row>
        <row r="70">
          <cell r="A70" t="str">
            <v>META-069</v>
          </cell>
          <cell r="B70" t="str">
            <v>2024257770014</v>
          </cell>
          <cell r="C70" t="str">
            <v>POR EL SUPATÁ SOÑADO AVANZAMOS JUNTOS EN LA LÍNEA ESTRATÉGICA SOCIAL</v>
          </cell>
          <cell r="D70" t="str">
            <v>POBLACIÓN VULNERABLE - CAPITULO ADULTO MAYOR</v>
          </cell>
          <cell r="E70" t="str">
            <v>Implementar anualmente la estrategia Rehabilitacion basada en comunidad RBC con la población Adulto Mayor</v>
          </cell>
        </row>
        <row r="71">
          <cell r="A71" t="str">
            <v>META-070</v>
          </cell>
          <cell r="B71" t="str">
            <v>2024257770014</v>
          </cell>
          <cell r="C71" t="str">
            <v>POR EL SUPATÁ SOÑADO AVANZAMOS JUNTOS EN LA LÍNEA ESTRATÉGICA SOCIAL</v>
          </cell>
          <cell r="D71" t="str">
            <v>POBLACIÓN VULNERABLE - CAPITULO ADULTO MAYOR</v>
          </cell>
          <cell r="E71" t="str">
            <v>Realizar 1 Dotación Centro día.</v>
          </cell>
        </row>
        <row r="72">
          <cell r="A72" t="str">
            <v>META-071</v>
          </cell>
          <cell r="B72" t="str">
            <v>2024257770014</v>
          </cell>
          <cell r="C72" t="str">
            <v>POR EL SUPATÁ SOÑADO AVANZAMOS JUNTOS EN LA LÍNEA ESTRATÉGICA SOCIAL</v>
          </cell>
          <cell r="D72" t="str">
            <v>POBLACIÓN VULNERABLE - CAPITULO ADULTO MAYOR</v>
          </cell>
          <cell r="E72" t="str">
            <v>Realizar 4 jornadas de certificación para acceso a subsidios de discapacidad.</v>
          </cell>
        </row>
        <row r="73">
          <cell r="A73" t="str">
            <v>META-072</v>
          </cell>
          <cell r="B73" t="str">
            <v>2024257770014</v>
          </cell>
          <cell r="C73" t="str">
            <v>POR EL SUPATÁ SOÑADO AVANZAMOS JUNTOS EN LA LÍNEA ESTRATÉGICA SOCIAL</v>
          </cell>
          <cell r="D73" t="str">
            <v>POBLACIÓN VULNERABLE - CAPITULO ADULTO MAYOR</v>
          </cell>
          <cell r="E73" t="str">
            <v xml:space="preserve">Mantener anualmente  atencion en el Centro de Vida Sensorial </v>
          </cell>
        </row>
        <row r="74">
          <cell r="A74" t="str">
            <v>META-073</v>
          </cell>
          <cell r="B74" t="str">
            <v>2024257770014</v>
          </cell>
          <cell r="C74" t="str">
            <v>POR EL SUPATÁ SOÑADO AVANZAMOS JUNTOS EN LA LÍNEA ESTRATÉGICA SOCIAL</v>
          </cell>
          <cell r="D74" t="str">
            <v>POBLACIÓN VULNERABLE - CAPITULO ADULTO MAYOR</v>
          </cell>
          <cell r="E74" t="str">
            <v>Celebrar anualmente el día Blanco</v>
          </cell>
        </row>
        <row r="75">
          <cell r="A75" t="str">
            <v>META-074</v>
          </cell>
          <cell r="B75" t="str">
            <v>2024257770014</v>
          </cell>
          <cell r="C75" t="str">
            <v>POR EL SUPATÁ SOÑADO AVANZAMOS JUNTOS EN LA LÍNEA ESTRATÉGICA SOCIAL</v>
          </cell>
          <cell r="D75" t="str">
            <v>POBLACIÓN VULNERABLE - CAPITULO ADULTO MAYOR</v>
          </cell>
          <cell r="E75" t="str">
            <v>Implementar anualmente la estrategia Rehabilitacion basada en comunidad RBC con la población con discapacidad</v>
          </cell>
        </row>
        <row r="76">
          <cell r="A76" t="str">
            <v>META-075</v>
          </cell>
          <cell r="B76" t="str">
            <v>2024257770014</v>
          </cell>
          <cell r="C76" t="str">
            <v>POR EL SUPATÁ SOÑADO AVANZAMOS JUNTOS EN LA LÍNEA ESTRATÉGICA SOCIAL</v>
          </cell>
          <cell r="D76" t="str">
            <v>POBLACIÓN VULNERABLE - CAPITULO ADULTO MAYOR</v>
          </cell>
          <cell r="E76" t="str">
            <v>Realizar 1 Actualizacion de la politica publica de discapacidad</v>
          </cell>
        </row>
        <row r="77">
          <cell r="A77" t="str">
            <v>META-076</v>
          </cell>
          <cell r="B77" t="str">
            <v>2024257770015</v>
          </cell>
          <cell r="C77" t="str">
            <v>POR EL SUPATÁ SOÑADO AVANZAMOS JUNTOS EN LA LÍNEA ESTRATÉGICA SOCIAL</v>
          </cell>
          <cell r="D77" t="str">
            <v>VIVIENDA, CIUDAD Y TERRITORIO-  POBLACIÓN EN CONDICIÓN DE DISCAPACIDAD</v>
          </cell>
          <cell r="E77" t="str">
            <v>Implementar un proyecto para la construcción de vivienda de interés social o de intéres prioritario.</v>
          </cell>
        </row>
        <row r="78">
          <cell r="A78" t="str">
            <v>META-077</v>
          </cell>
          <cell r="B78" t="str">
            <v>2024257770015</v>
          </cell>
          <cell r="C78" t="str">
            <v>POR EL SUPATÁ SOÑADO AVANZAMOS JUNTOS EN LA LÍNEA ESTRATÉGICA SOCIAL</v>
          </cell>
          <cell r="D78" t="str">
            <v>VIVIENDA, CIUDAD Y TERRITORIO-  POBLACIÓN EN CONDICIÓN DE DISCAPACIDAD</v>
          </cell>
          <cell r="E78" t="str">
            <v>Brindar anualmente un (1) apoyo juridico a la población para otorgar titulación de predios.</v>
          </cell>
        </row>
        <row r="79">
          <cell r="A79" t="str">
            <v>META-078</v>
          </cell>
          <cell r="B79" t="str">
            <v>2024257770015</v>
          </cell>
          <cell r="C79" t="str">
            <v>POR EL SUPATÁ SOÑADO AVANZAMOS JUNTOS EN LA LÍNEA ESTRATÉGICA SOCIAL</v>
          </cell>
          <cell r="D79" t="str">
            <v>VIVIENDA, CIUDAD Y TERRITORIO-  POBLACIÓN EN CONDICIÓN DE DISCAPACIDAD</v>
          </cell>
          <cell r="E79" t="str">
            <v>Beneficiar a 50 familias en condición de vulnerabilidad con el mejoramiento de unidad habitacional, pisos, cocina, baños y techos del sector rural</v>
          </cell>
        </row>
        <row r="80">
          <cell r="A80" t="str">
            <v>META-079</v>
          </cell>
          <cell r="B80" t="str">
            <v>2024257770016</v>
          </cell>
          <cell r="C80" t="str">
            <v>POR EL SUPATÁ SOÑADO AVANZAMOS JUNTOS EN LA LÍNEA ESTRATÉGICA SOCIAL</v>
          </cell>
          <cell r="D80" t="str">
            <v>VIVIENDA, CIUDAD Y TERRITORIO</v>
          </cell>
          <cell r="E80" t="str">
            <v>Fortalecer  administrativa y logística anualmente el Consejo Territorial de Planeación para su funcionamiento. (pendiente fortalecimiento institucional cambio de sector)</v>
          </cell>
        </row>
        <row r="81">
          <cell r="A81" t="str">
            <v>META-080</v>
          </cell>
          <cell r="B81" t="str">
            <v>2024257770016</v>
          </cell>
          <cell r="C81" t="str">
            <v>POR EL SUPATÁ SOÑADO AVANZAMOS JUNTOS EN LA LÍNEA ESTRATÉGICA SOCIAL</v>
          </cell>
          <cell r="D81" t="str">
            <v>VIVIENDA, CIUDAD Y TERRITORIO</v>
          </cell>
          <cell r="E81" t="str">
            <v>Adecuación y mantenimiento de la plaza de ferias municipal</v>
          </cell>
        </row>
        <row r="82">
          <cell r="A82" t="str">
            <v>META-081</v>
          </cell>
          <cell r="B82" t="str">
            <v>2024257770016</v>
          </cell>
          <cell r="C82" t="str">
            <v>POR EL SUPATÁ SOÑADO AVANZAMOS JUNTOS EN LA LÍNEA ESTRATÉGICA SOCIAL</v>
          </cell>
          <cell r="D82" t="str">
            <v>VIVIENDA, CIUDAD Y TERRITORIO</v>
          </cell>
          <cell r="E82" t="str">
            <v>Realizar 2 mantenimientos a la plaza de mercado</v>
          </cell>
        </row>
        <row r="83">
          <cell r="A83" t="str">
            <v>META-082</v>
          </cell>
          <cell r="B83" t="str">
            <v>2024257770016</v>
          </cell>
          <cell r="C83" t="str">
            <v>POR EL SUPATÁ SOÑADO AVANZAMOS JUNTOS EN LA LÍNEA ESTRATÉGICA SOCIAL</v>
          </cell>
          <cell r="D83" t="str">
            <v>VIVIENDA, CIUDAD Y TERRITORIO</v>
          </cell>
          <cell r="E83" t="str">
            <v>Implementar  el programa anual  de Banco de Materiales que une esfuerzos entre la administración municipal y la comunidad para la realización de obras necesarias y de gran impacto social en barrios y veredas.</v>
          </cell>
        </row>
        <row r="84">
          <cell r="A84" t="str">
            <v>META-083</v>
          </cell>
          <cell r="B84" t="str">
            <v>2024257770016</v>
          </cell>
          <cell r="C84" t="str">
            <v>POR EL SUPATÁ SOÑADO AVANZAMOS JUNTOS EN LA LÍNEA ESTRATÉGICA SOCIAL</v>
          </cell>
          <cell r="D84" t="str">
            <v>VIVIENDA, CIUDAD Y TERRITORIO</v>
          </cell>
          <cell r="E84" t="str">
            <v>Implementar  un programa  de mantenimiento de espacio público,  zonas verdes y  parques del municipio</v>
          </cell>
        </row>
        <row r="85">
          <cell r="A85" t="str">
            <v>META-084</v>
          </cell>
          <cell r="B85" t="str">
            <v>2024257770016</v>
          </cell>
          <cell r="C85" t="str">
            <v>POR EL SUPATÁ SOÑADO AVANZAMOS JUNTOS EN LA LÍNEA ESTRATÉGICA SOCIAL</v>
          </cell>
          <cell r="D85" t="str">
            <v>VIVIENDA, CIUDAD Y TERRITORIO</v>
          </cell>
          <cell r="E85" t="str">
            <v>Construir, mejorar y adecuar los andenes, pasamanos y escaleras en diversos sectores del casco urbano y centros poblados del municipio.</v>
          </cell>
        </row>
        <row r="86">
          <cell r="A86" t="str">
            <v>META-085</v>
          </cell>
          <cell r="B86" t="str">
            <v>2024257770016</v>
          </cell>
          <cell r="C86" t="str">
            <v>POR EL SUPATÁ SOÑADO AVANZAMOS JUNTOS EN LA LÍNEA ESTRATÉGICA SOCIAL</v>
          </cell>
          <cell r="D86" t="str">
            <v>VIVIENDA, CIUDAD Y TERRITORIO</v>
          </cell>
          <cell r="E86" t="str">
            <v>Estudios y diseños para la construcción de la casa de gobierno</v>
          </cell>
        </row>
        <row r="87">
          <cell r="A87" t="str">
            <v>META-086</v>
          </cell>
          <cell r="B87" t="str">
            <v>2024257770017</v>
          </cell>
          <cell r="C87" t="str">
            <v>POR EL SUPATÁ SOÑADO AVANZAMOS JUNTOS EN LA LÍNEA ESTRATÉGICA SOCIAL</v>
          </cell>
          <cell r="D87" t="str">
            <v>A.P.S.B</v>
          </cell>
          <cell r="E87" t="str">
            <v xml:space="preserve">Realizar 1 optimizacion a la  planta de tratamiento de agua potable </v>
          </cell>
        </row>
        <row r="88">
          <cell r="A88" t="str">
            <v>META-087</v>
          </cell>
          <cell r="B88" t="str">
            <v>2024257770017</v>
          </cell>
          <cell r="C88" t="str">
            <v>POR EL SUPATÁ SOÑADO AVANZAMOS JUNTOS EN LA LÍNEA ESTRATÉGICA SOCIAL</v>
          </cell>
          <cell r="D88" t="str">
            <v>A.P.S.B</v>
          </cell>
          <cell r="E88" t="str">
            <v>Otorgar  anualmente subsidios a los usuarios de los servicios de acueducto, de los estratos 1, 2 y 3 del área urbana,en el cuatrienio</v>
          </cell>
        </row>
        <row r="89">
          <cell r="A89" t="str">
            <v>META-088</v>
          </cell>
          <cell r="B89" t="str">
            <v>2024257770017</v>
          </cell>
          <cell r="C89" t="str">
            <v>POR EL SUPATÁ SOÑADO AVANZAMOS JUNTOS EN LA LÍNEA ESTRATÉGICA SOCIAL</v>
          </cell>
          <cell r="D89" t="str">
            <v>A.P.S.B</v>
          </cell>
          <cell r="E89" t="str">
            <v xml:space="preserve">Realizar optimizaciones a los acueductos veredales </v>
          </cell>
        </row>
        <row r="90">
          <cell r="A90" t="str">
            <v>META-089</v>
          </cell>
          <cell r="B90" t="str">
            <v>2024257770017</v>
          </cell>
          <cell r="C90" t="str">
            <v>POR EL SUPATÁ SOÑADO AVANZAMOS JUNTOS EN LA LÍNEA ESTRATÉGICA SOCIAL</v>
          </cell>
          <cell r="D90" t="str">
            <v>A.P.S.B</v>
          </cell>
          <cell r="E90" t="str">
            <v>Realizar la construcción de 200 metros lineales de red de acueducto en el municipio</v>
          </cell>
        </row>
        <row r="91">
          <cell r="A91" t="str">
            <v>META-090</v>
          </cell>
          <cell r="B91" t="str">
            <v>2024257770017</v>
          </cell>
          <cell r="C91" t="str">
            <v>POR EL SUPATÁ SOÑADO AVANZAMOS JUNTOS EN LA LÍNEA ESTRATÉGICA SOCIAL</v>
          </cell>
          <cell r="D91" t="str">
            <v>A.P.S.B</v>
          </cell>
          <cell r="E91" t="str">
            <v>Transferir anualmente al Plan Departamental de Aguas            -PDA- los recursos comprometidos a través de Acuerdo Municipal en el cuatrienio.</v>
          </cell>
        </row>
        <row r="92">
          <cell r="A92" t="str">
            <v>META-091</v>
          </cell>
          <cell r="B92" t="str">
            <v>2024257770017</v>
          </cell>
          <cell r="C92" t="str">
            <v>POR EL SUPATÁ SOÑADO AVANZAMOS JUNTOS EN LA LÍNEA ESTRATÉGICA SOCIAL</v>
          </cell>
          <cell r="D92" t="str">
            <v>A.P.S.B</v>
          </cell>
          <cell r="E92" t="str">
            <v>Realizar anulmente doce (12)  analisis de calidad del agua de acuerdo a la resolucion 2115 de 2007</v>
          </cell>
        </row>
        <row r="93">
          <cell r="A93" t="str">
            <v>META-092</v>
          </cell>
          <cell r="B93" t="str">
            <v>2024257770017</v>
          </cell>
          <cell r="C93" t="str">
            <v>POR EL SUPATÁ SOÑADO AVANZAMOS JUNTOS EN LA LÍNEA ESTRATÉGICA SOCIAL</v>
          </cell>
          <cell r="D93" t="str">
            <v>A.P.S.B</v>
          </cell>
          <cell r="E93" t="str">
            <v>elaborar el programa de Uso Eficiente y Ahorro del Agua (PUEAA) en el municipio durante el cuatrienio</v>
          </cell>
        </row>
        <row r="94">
          <cell r="A94" t="str">
            <v>META-093</v>
          </cell>
          <cell r="B94" t="str">
            <v>2024257770017</v>
          </cell>
          <cell r="C94" t="str">
            <v>POR EL SUPATÁ SOÑADO AVANZAMOS JUNTOS EN LA LÍNEA ESTRATÉGICA SOCIAL</v>
          </cell>
          <cell r="D94" t="str">
            <v>A.P.S.B</v>
          </cell>
          <cell r="E94" t="str">
            <v xml:space="preserve">Acompañamiento para la legalizacion de acueductos veredales con requisitos minimos </v>
          </cell>
        </row>
        <row r="95">
          <cell r="A95" t="str">
            <v>META-094</v>
          </cell>
          <cell r="B95" t="str">
            <v>2024257770017</v>
          </cell>
          <cell r="C95" t="str">
            <v>POR EL SUPATÁ SOÑADO AVANZAMOS JUNTOS EN LA LÍNEA ESTRATÉGICA SOCIAL</v>
          </cell>
          <cell r="D95" t="str">
            <v>A.P.S.B</v>
          </cell>
          <cell r="E95" t="str">
            <v xml:space="preserve">implementacion de un programa de micromedicion en el area urbana </v>
          </cell>
        </row>
        <row r="96">
          <cell r="A96" t="str">
            <v>META-095</v>
          </cell>
          <cell r="B96" t="str">
            <v>2024257770017</v>
          </cell>
          <cell r="C96" t="str">
            <v>POR EL SUPATÁ SOÑADO AVANZAMOS JUNTOS EN LA LÍNEA ESTRATÉGICA SOCIAL</v>
          </cell>
          <cell r="D96" t="str">
            <v>A.P.S.B</v>
          </cell>
          <cell r="E96" t="str">
            <v>Realizar anulmente el fortalecimiento para el reporte de la informacion de las entidades de control</v>
          </cell>
        </row>
        <row r="97">
          <cell r="A97" t="str">
            <v>META-096</v>
          </cell>
          <cell r="B97" t="str">
            <v>2024257770017</v>
          </cell>
          <cell r="C97" t="str">
            <v>POR EL SUPATÁ SOÑADO AVANZAMOS JUNTOS EN LA LÍNEA ESTRATÉGICA SOCIAL</v>
          </cell>
          <cell r="D97" t="str">
            <v>A.P.S.B</v>
          </cell>
          <cell r="E97" t="str">
            <v xml:space="preserve">Actualizar el Plan de Saneamiento y Manejo de Vertimientos (PSMV) </v>
          </cell>
        </row>
        <row r="98">
          <cell r="A98" t="str">
            <v>META-097</v>
          </cell>
          <cell r="B98" t="str">
            <v>2024257770017</v>
          </cell>
          <cell r="C98" t="str">
            <v>POR EL SUPATÁ SOÑADO AVANZAMOS JUNTOS EN LA LÍNEA ESTRATÉGICA SOCIAL</v>
          </cell>
          <cell r="D98" t="str">
            <v>A.P.S.B</v>
          </cell>
          <cell r="E98" t="str">
            <v>gestionar la ejecución el Plan Maestro de Acueducto y Alcantarillado</v>
          </cell>
        </row>
        <row r="99">
          <cell r="A99" t="str">
            <v>META-098</v>
          </cell>
          <cell r="B99" t="str">
            <v>2024257770017</v>
          </cell>
          <cell r="C99" t="str">
            <v>POR EL SUPATÁ SOÑADO AVANZAMOS JUNTOS EN LA LÍNEA ESTRATÉGICA SOCIAL</v>
          </cell>
          <cell r="D99" t="str">
            <v>A.P.S.B</v>
          </cell>
          <cell r="E99" t="str">
            <v>Otorgar  anualmente subsidios a los usuarios del servicio de alcantarillado de los estratos 1, 2 y 3 del área urbana,en el cuatrienio</v>
          </cell>
        </row>
        <row r="100">
          <cell r="A100" t="str">
            <v>META-099</v>
          </cell>
          <cell r="B100" t="str">
            <v>2024257770017</v>
          </cell>
          <cell r="C100" t="str">
            <v>POR EL SUPATÁ SOÑADO AVANZAMOS JUNTOS EN LA LÍNEA ESTRATÉGICA SOCIAL</v>
          </cell>
          <cell r="D100" t="str">
            <v>A.P.S.B</v>
          </cell>
          <cell r="E100" t="str">
            <v>Mejoramiento de la planta de tratamiento de aguas residuales -PTAR- del Municipio</v>
          </cell>
        </row>
        <row r="101">
          <cell r="A101" t="str">
            <v>META-100</v>
          </cell>
          <cell r="B101" t="str">
            <v>2024257770017</v>
          </cell>
          <cell r="C101" t="str">
            <v>POR EL SUPATÁ SOÑADO AVANZAMOS JUNTOS EN LA LÍNEA ESTRATÉGICA SOCIAL</v>
          </cell>
          <cell r="D101" t="str">
            <v>A.P.S.B</v>
          </cell>
          <cell r="E101" t="str">
            <v xml:space="preserve">Realizar mejoramiento al alcantarillado sanitario y pluvial </v>
          </cell>
        </row>
        <row r="102">
          <cell r="A102" t="str">
            <v>META-101</v>
          </cell>
          <cell r="B102" t="str">
            <v>2024257770017</v>
          </cell>
          <cell r="C102" t="str">
            <v>POR EL SUPATÁ SOÑADO AVANZAMOS JUNTOS EN LA LÍNEA ESTRATÉGICA SOCIAL</v>
          </cell>
          <cell r="D102" t="str">
            <v>A.P.S.B</v>
          </cell>
          <cell r="E102" t="str">
            <v>Implementar el Plan de gestión integral de residuos sólidos (PGIRS) del municipio en el marco de la Resolución No. 754 de 2014 , la Política Nacional para la Gestión Integral de Residuos Sólidos – CONPES 3874 de 2016, y la Resolución 2184 de 2019, en el cuatrenio</v>
          </cell>
        </row>
        <row r="103">
          <cell r="A103" t="str">
            <v>META-102</v>
          </cell>
          <cell r="B103" t="str">
            <v>2024257770017</v>
          </cell>
          <cell r="C103" t="str">
            <v>POR EL SUPATÁ SOÑADO AVANZAMOS JUNTOS EN LA LÍNEA ESTRATÉGICA SOCIAL</v>
          </cell>
          <cell r="D103" t="str">
            <v>A.P.S.B</v>
          </cell>
          <cell r="E103" t="str">
            <v>Otorgar  anualmente subsidios a los usuarios del servicio de  aseo  de los estratos 1, 2 y 3 del área urbana,en el cuatrienio</v>
          </cell>
        </row>
        <row r="104">
          <cell r="A104" t="str">
            <v>META-103</v>
          </cell>
          <cell r="B104" t="str">
            <v>202500000008261</v>
          </cell>
          <cell r="C104" t="str">
            <v>POR EL SUPATÁ SOÑADO AVANZAMOS JUNTOS EN LA LÍNEA ESTRATÉGICA ECONÓMICA</v>
          </cell>
          <cell r="D104" t="str">
            <v>TECNOLOGIAS DE LA INFORMACIÓN Y LAS COMUNICACIONES</v>
          </cell>
          <cell r="E104" t="str">
            <v>Mantener anualmente una persona calificada para Implementar la estrategia de Gobierno Digital</v>
          </cell>
        </row>
        <row r="105">
          <cell r="A105" t="str">
            <v>META-104</v>
          </cell>
          <cell r="B105" t="str">
            <v>202500000008261</v>
          </cell>
          <cell r="C105" t="str">
            <v>POR EL SUPATÁ SOÑADO AVANZAMOS JUNTOS EN LA LÍNEA ESTRATÉGICA ECONÓMICA</v>
          </cell>
          <cell r="D105" t="str">
            <v>TECNOLOGIAS DE LA INFORMACIÓN Y LAS COMUNICACIONES</v>
          </cell>
          <cell r="E105" t="str">
            <v xml:space="preserve">Realizar 2 dotaciones de software, dotación tecnológica, sonido para eventos   y equipos de altavoz </v>
          </cell>
        </row>
        <row r="106">
          <cell r="A106" t="str">
            <v>META-105</v>
          </cell>
          <cell r="B106" t="str">
            <v>202500000008261</v>
          </cell>
          <cell r="C106" t="str">
            <v>POR EL SUPATÁ SOÑADO AVANZAMOS JUNTOS EN LA LÍNEA ESTRATÉGICA ECONÓMICA</v>
          </cell>
          <cell r="D106" t="str">
            <v>TECNOLOGIAS DE LA INFORMACIÓN Y LAS COMUNICACIONES</v>
          </cell>
          <cell r="E106" t="str">
            <v>Realizar anualmente 4 actualizaciones a la página web del municipio con el objetivo de cumplir anualmente con el informe ITA de la Procuraduría General de la Nación</v>
          </cell>
        </row>
        <row r="107">
          <cell r="A107" t="str">
            <v>META-106</v>
          </cell>
          <cell r="B107" t="str">
            <v>202500000008863</v>
          </cell>
          <cell r="C107" t="str">
            <v>POR EL SUPATÁ SOÑADO AVANZAMOS JUNTOS EN LA LÍNEA ESTRATÉGICA ECONÓMICA</v>
          </cell>
          <cell r="D107" t="str">
            <v>TECNOLOGIAS DE LA INFORMACIÓN Y LAS COMUNICACIONES</v>
          </cell>
          <cell r="E107" t="str">
            <v>Realizar anualmente la Implementación de trámites y servicios en línea</v>
          </cell>
        </row>
        <row r="108">
          <cell r="A108" t="str">
            <v>META-107</v>
          </cell>
          <cell r="B108" t="str">
            <v>202500000008863</v>
          </cell>
          <cell r="C108" t="str">
            <v>POR EL SUPATÁ SOÑADO AVANZAMOS JUNTOS EN LA LÍNEA ESTRATÉGICA ECONÓMICA</v>
          </cell>
          <cell r="D108" t="str">
            <v>TECNOLOGIAS DE LA INFORMACIÓN Y LAS COMUNICACIONES</v>
          </cell>
          <cell r="E108" t="str">
            <v>Realizar 4 capacitaciones sobre la importancia de Gobierno Digital y  de las TICS</v>
          </cell>
        </row>
        <row r="109">
          <cell r="A109" t="str">
            <v>META-108</v>
          </cell>
          <cell r="B109" t="str">
            <v>2024257770020</v>
          </cell>
          <cell r="C109" t="str">
            <v>POR EL SUPATÁ SOÑADO AVANZAMOS JUNTOS EN LA LÍNEA ESTRATÉGICA ECONÓMICA</v>
          </cell>
          <cell r="D109" t="str">
            <v>TURISMO</v>
          </cell>
          <cell r="E109" t="str">
            <v>Realizar la construccion de 1 mirador turistico</v>
          </cell>
        </row>
        <row r="110">
          <cell r="A110" t="str">
            <v>META-109</v>
          </cell>
          <cell r="B110" t="str">
            <v>2024257770020</v>
          </cell>
          <cell r="C110" t="str">
            <v>POR EL SUPATÁ SOÑADO AVANZAMOS JUNTOS EN LA LÍNEA ESTRATÉGICA ECONÓMICA</v>
          </cell>
          <cell r="D110" t="str">
            <v>TURISMO</v>
          </cell>
          <cell r="E110" t="str">
            <v>Elaborar el plan turistico del municipio</v>
          </cell>
        </row>
        <row r="111">
          <cell r="A111" t="str">
            <v>META-110</v>
          </cell>
          <cell r="B111" t="str">
            <v>2024257770020</v>
          </cell>
          <cell r="C111" t="str">
            <v>POR EL SUPATÁ SOÑADO AVANZAMOS JUNTOS EN LA LÍNEA ESTRATÉGICA ECONÓMICA</v>
          </cell>
          <cell r="D111" t="str">
            <v>TURISMO</v>
          </cell>
          <cell r="E111" t="str">
            <v>Realizar 4 capacitaciones a los operadores sobre servicios turisticos</v>
          </cell>
        </row>
        <row r="112">
          <cell r="A112" t="str">
            <v>META-111</v>
          </cell>
          <cell r="B112" t="str">
            <v>2024257770020</v>
          </cell>
          <cell r="C112" t="str">
            <v>POR EL SUPATÁ SOÑADO AVANZAMOS JUNTOS EN LA LÍNEA ESTRATÉGICA ECONÓMICA</v>
          </cell>
          <cell r="D112" t="str">
            <v>TURISMO</v>
          </cell>
          <cell r="E112" t="str">
            <v>Brindar anualmente apoyo a iniciativas de proyectos turísticos</v>
          </cell>
        </row>
        <row r="113">
          <cell r="A113" t="str">
            <v>META-112</v>
          </cell>
          <cell r="B113" t="str">
            <v>2024257770020</v>
          </cell>
          <cell r="C113" t="str">
            <v>POR EL SUPATÁ SOÑADO AVANZAMOS JUNTOS EN LA LÍNEA ESTRATÉGICA ECONÓMICA</v>
          </cell>
          <cell r="D113" t="str">
            <v>TURISMO</v>
          </cell>
          <cell r="E113" t="str">
            <v>Realizar eventos turísticas para que se admire la  riqueza ecoturista y agroturista</v>
          </cell>
        </row>
        <row r="114">
          <cell r="A114" t="str">
            <v>META-113</v>
          </cell>
          <cell r="B114" t="str">
            <v>2024257770020</v>
          </cell>
          <cell r="C114" t="str">
            <v>POR EL SUPATÁ SOÑADO AVANZAMOS JUNTOS EN LA LÍNEA ESTRATÉGICA ECONÓMICA</v>
          </cell>
          <cell r="D114" t="str">
            <v>TURISMO</v>
          </cell>
          <cell r="E114" t="str">
            <v>Realizar anualmente alianzas turisticas con entidades de orden nacional, departamental y de cooperacion internacional</v>
          </cell>
        </row>
        <row r="115">
          <cell r="A115" t="str">
            <v>META-114</v>
          </cell>
          <cell r="B115" t="str">
            <v>2024257770020</v>
          </cell>
          <cell r="C115" t="str">
            <v>POR EL SUPATÁ SOÑADO AVANZAMOS JUNTOS EN LA LÍNEA ESTRATÉGICA ECONÓMICA</v>
          </cell>
          <cell r="D115" t="str">
            <v>TURISMO</v>
          </cell>
          <cell r="E115" t="str">
            <v xml:space="preserve">Implementar una campaña de estrategia para la promoción del turismo religioso </v>
          </cell>
        </row>
        <row r="116">
          <cell r="A116" t="str">
            <v>META-115</v>
          </cell>
          <cell r="B116" t="str">
            <v>2024257770020</v>
          </cell>
          <cell r="C116" t="str">
            <v>POR EL SUPATÁ SOÑADO AVANZAMOS JUNTOS EN LA LÍNEA ESTRATÉGICA ECONÓMICA</v>
          </cell>
          <cell r="D116" t="str">
            <v>TURISMO</v>
          </cell>
          <cell r="E116" t="str">
            <v>gestionar proyectos para buscar apoyo en  mantenimiento, mejorameinto o construccion a zonas naturales de uso turístico</v>
          </cell>
        </row>
        <row r="117">
          <cell r="A117" t="str">
            <v>META-116</v>
          </cell>
          <cell r="B117" t="str">
            <v>2024257770020</v>
          </cell>
          <cell r="C117" t="str">
            <v>POR EL SUPATÁ SOÑADO AVANZAMOS JUNTOS EN LA LÍNEA ESTRATÉGICA ECONÓMICA</v>
          </cell>
          <cell r="D117" t="str">
            <v>TURISMO</v>
          </cell>
          <cell r="E117" t="str">
            <v>Apoyar anualmente la asociatividad productiva y comercial en el municipio</v>
          </cell>
        </row>
        <row r="118">
          <cell r="A118" t="str">
            <v>META-117</v>
          </cell>
          <cell r="B118" t="str">
            <v>2024257770021</v>
          </cell>
          <cell r="C118" t="str">
            <v>POR EL SUPATÁ SOÑADO AVANZAMOS JUNTOS EN LA LÍNEA ESTRATÉGICA ECONÓMICA</v>
          </cell>
          <cell r="D118" t="str">
            <v>TRANSPORTE</v>
          </cell>
          <cell r="E118" t="str">
            <v>Realizar mantenimiento rutinario de 50 Km de vías rurales del municipio (cuneteando, conformando, afirmado y compactado, según la necesidad) en el cuatrienio</v>
          </cell>
        </row>
        <row r="119">
          <cell r="A119" t="str">
            <v>META-118</v>
          </cell>
          <cell r="B119" t="str">
            <v>2024257770021</v>
          </cell>
          <cell r="C119" t="str">
            <v>POR EL SUPATÁ SOÑADO AVANZAMOS JUNTOS EN LA LÍNEA ESTRATÉGICA ECONÓMICA</v>
          </cell>
          <cell r="D119" t="str">
            <v>TRANSPORTE</v>
          </cell>
          <cell r="E119" t="str">
            <v>Realizar el mejoramiento, adecuación de vías en la zona rural a través de la construcción de 1.000 ML de placa huellas en concreto o pavimentación, en el cuatrienio</v>
          </cell>
        </row>
        <row r="120">
          <cell r="A120" t="str">
            <v>META-119</v>
          </cell>
          <cell r="B120" t="str">
            <v>2024257770021</v>
          </cell>
          <cell r="C120" t="str">
            <v>POR EL SUPATÁ SOÑADO AVANZAMOS JUNTOS EN LA LÍNEA ESTRATÉGICA ECONÓMICA</v>
          </cell>
          <cell r="D120" t="str">
            <v>TRANSPORTE</v>
          </cell>
          <cell r="E120" t="str">
            <v>Construir  10 obras de arte para el mantenimiento y mejoramiento de la red terciaria del municipio, durante el cuatrienio</v>
          </cell>
        </row>
        <row r="121">
          <cell r="A121" t="str">
            <v>META-120</v>
          </cell>
          <cell r="B121" t="str">
            <v>2024257770021</v>
          </cell>
          <cell r="C121" t="str">
            <v>POR EL SUPATÁ SOÑADO AVANZAMOS JUNTOS EN LA LÍNEA ESTRATÉGICA ECONÓMICA</v>
          </cell>
          <cell r="D121" t="str">
            <v>TRANSPORTE</v>
          </cell>
          <cell r="E121" t="str">
            <v xml:space="preserve">Adquirir maquinaria amarilla </v>
          </cell>
        </row>
        <row r="122">
          <cell r="A122" t="str">
            <v>META-121</v>
          </cell>
          <cell r="B122" t="str">
            <v>2024257770021</v>
          </cell>
          <cell r="C122" t="str">
            <v>POR EL SUPATÁ SOÑADO AVANZAMOS JUNTOS EN LA LÍNEA ESTRATÉGICA ECONÓMICA</v>
          </cell>
          <cell r="D122" t="str">
            <v>TRANSPORTE</v>
          </cell>
          <cell r="E122" t="str">
            <v>Realizar 3 mantenimientos a la maquinaria amarilla propiedad del municipio</v>
          </cell>
        </row>
        <row r="123">
          <cell r="A123" t="str">
            <v>META-122</v>
          </cell>
          <cell r="B123" t="str">
            <v>2024257770021</v>
          </cell>
          <cell r="C123" t="str">
            <v>POR EL SUPATÁ SOÑADO AVANZAMOS JUNTOS EN LA LÍNEA ESTRATÉGICA ECONÓMICA</v>
          </cell>
          <cell r="D123" t="str">
            <v>TRANSPORTE</v>
          </cell>
          <cell r="E123" t="str">
            <v>Realizar la apertura de 2 km de vías terciarias dentro del municipio</v>
          </cell>
        </row>
        <row r="124">
          <cell r="A124" t="str">
            <v>META-123</v>
          </cell>
          <cell r="B124" t="str">
            <v>2024257770021</v>
          </cell>
          <cell r="C124" t="str">
            <v>POR EL SUPATÁ SOÑADO AVANZAMOS JUNTOS EN LA LÍNEA ESTRATÉGICA ECONÓMICA</v>
          </cell>
          <cell r="D124" t="str">
            <v>TRANSPORTE</v>
          </cell>
          <cell r="E124" t="str">
            <v>Realizar el mantenimiento,  rehabilitación  y adecuación  de 100 ML de vías en la zona urbana del municipio, en el periodo de gobierno</v>
          </cell>
        </row>
        <row r="125">
          <cell r="A125" t="str">
            <v>META-124</v>
          </cell>
          <cell r="B125" t="str">
            <v>2024257770021</v>
          </cell>
          <cell r="C125" t="str">
            <v>POR EL SUPATÁ SOÑADO AVANZAMOS JUNTOS EN LA LÍNEA ESTRATÉGICA ECONÓMICA</v>
          </cell>
          <cell r="D125" t="str">
            <v>TRANSPORTE</v>
          </cell>
          <cell r="E125" t="str">
            <v>Mejoramiento y mantenimiento 2 puentes vehiculares,  en la zona rural o urbana del municipio</v>
          </cell>
        </row>
        <row r="126">
          <cell r="A126" t="str">
            <v>META-125</v>
          </cell>
          <cell r="B126" t="str">
            <v>2024257770021</v>
          </cell>
          <cell r="C126" t="str">
            <v>POR EL SUPATÁ SOÑADO AVANZAMOS JUNTOS EN LA LÍNEA ESTRATÉGICA ECONÓMICA</v>
          </cell>
          <cell r="D126" t="str">
            <v>TRANSPORTE</v>
          </cell>
          <cell r="E126" t="str">
            <v>Hacer mantenimiento y/o adecuación  a  4 caminos reales  durante el cuatrienio.</v>
          </cell>
        </row>
        <row r="127">
          <cell r="A127" t="str">
            <v>META-126</v>
          </cell>
          <cell r="B127" t="str">
            <v>2024257770021</v>
          </cell>
          <cell r="C127" t="str">
            <v>POR EL SUPATÁ SOÑADO AVANZAMOS JUNTOS EN LA LÍNEA ESTRATÉGICA ECONÓMICA</v>
          </cell>
          <cell r="D127" t="str">
            <v>TRANSPORTE</v>
          </cell>
          <cell r="E127" t="str">
            <v xml:space="preserve">Realizar 300 metros lineales de señalizacion de vías terciarias y urbanas del municipio. </v>
          </cell>
        </row>
        <row r="128">
          <cell r="A128" t="str">
            <v>META-127</v>
          </cell>
          <cell r="B128" t="str">
            <v>2024257770021</v>
          </cell>
          <cell r="E128" t="str">
            <v>Realizar  4 capacitaciones sobre seguridad vial a los actores viales del municipio</v>
          </cell>
        </row>
        <row r="129">
          <cell r="A129" t="str">
            <v>META-128</v>
          </cell>
          <cell r="B129" t="str">
            <v>2024257770023</v>
          </cell>
          <cell r="C129" t="str">
            <v>POR EL SUPATÁ SOÑADO AVANZAMOS JUNTOS EN LA LÍNEA ESTRATÉGICA ECONÓMICA</v>
          </cell>
          <cell r="D129" t="str">
            <v>AGROPECUARIO</v>
          </cell>
          <cell r="E129" t="str">
            <v>Apoyo   (2) proyectos productivos que me garanticen el uso eficiente en ganaderia y uso del suelo.</v>
          </cell>
        </row>
        <row r="130">
          <cell r="A130" t="str">
            <v>META-129</v>
          </cell>
          <cell r="B130" t="str">
            <v>2024257770023</v>
          </cell>
          <cell r="C130" t="str">
            <v>POR EL SUPATÁ SOÑADO AVANZAMOS JUNTOS EN LA LÍNEA ESTRATÉGICA ECONÓMICA</v>
          </cell>
          <cell r="D130" t="str">
            <v>AGROPECUARIO</v>
          </cell>
          <cell r="E130" t="str">
            <v>Realizar 400 visitas  técnicas solicitada a los sistemas de producción agricolas</v>
          </cell>
        </row>
        <row r="131">
          <cell r="A131" t="str">
            <v>META-130</v>
          </cell>
          <cell r="B131" t="str">
            <v>2024257770023</v>
          </cell>
          <cell r="C131" t="str">
            <v>POR EL SUPATÁ SOÑADO AVANZAMOS JUNTOS EN LA LÍNEA ESTRATÉGICA ECONÓMICA</v>
          </cell>
          <cell r="D131" t="str">
            <v>AGROPECUARIO</v>
          </cell>
          <cell r="E131" t="str">
            <v>Implementar 80 huertas y huertos  caseras</v>
          </cell>
        </row>
        <row r="132">
          <cell r="A132" t="str">
            <v>META-131</v>
          </cell>
          <cell r="B132" t="str">
            <v>2024257770023</v>
          </cell>
          <cell r="C132" t="str">
            <v>POR EL SUPATÁ SOÑADO AVANZAMOS JUNTOS EN LA LÍNEA ESTRATÉGICA ECONÓMICA</v>
          </cell>
          <cell r="D132" t="str">
            <v>AGROPECUARIO</v>
          </cell>
          <cell r="E132" t="str">
            <v>Apoyo a  20  pequeños productores cafeteros del municipio para aumentar las áreas de siembra, mejorar la capacidad productiva y competitividad, en el cuatrenio</v>
          </cell>
        </row>
        <row r="133">
          <cell r="A133" t="str">
            <v>META-132</v>
          </cell>
          <cell r="B133" t="str">
            <v>2024257770023</v>
          </cell>
          <cell r="C133" t="str">
            <v>POR EL SUPATÁ SOÑADO AVANZAMOS JUNTOS EN LA LÍNEA ESTRATÉGICA ECONÓMICA</v>
          </cell>
          <cell r="D133" t="str">
            <v>AGROPECUARIO</v>
          </cell>
          <cell r="E133" t="str">
            <v>Fortalecer  el Programa de Mercados Campesinos para aumentar la comercializacion de los productos agropecuarios</v>
          </cell>
        </row>
        <row r="134">
          <cell r="A134" t="str">
            <v>META-133</v>
          </cell>
          <cell r="B134" t="str">
            <v>2024257770023</v>
          </cell>
          <cell r="C134" t="str">
            <v>POR EL SUPATÁ SOÑADO AVANZAMOS JUNTOS EN LA LÍNEA ESTRATÉGICA ECONÓMICA</v>
          </cell>
          <cell r="D134" t="str">
            <v>AGROPECUARIO</v>
          </cell>
          <cell r="E134" t="str">
            <v>Apoyar a 20 usuarios en la implementacion de sistemas de producción pecuaria con especies menores.</v>
          </cell>
        </row>
        <row r="135">
          <cell r="A135" t="str">
            <v>META-134</v>
          </cell>
          <cell r="B135" t="str">
            <v>2024257770023</v>
          </cell>
          <cell r="C135" t="str">
            <v>POR EL SUPATÁ SOÑADO AVANZAMOS JUNTOS EN LA LÍNEA ESTRATÉGICA ECONÓMICA</v>
          </cell>
          <cell r="D135" t="str">
            <v>AGROPECUARIO</v>
          </cell>
          <cell r="E135" t="str">
            <v>Fortalecer anualmente las asociasiones de productores legalmente constituidas</v>
          </cell>
        </row>
        <row r="136">
          <cell r="A136" t="str">
            <v>META-135</v>
          </cell>
          <cell r="B136" t="str">
            <v>2024257770024</v>
          </cell>
          <cell r="C136" t="str">
            <v>POR EL SUPATÁ SOÑADO AVANZAMOS JUNTOS EN LA LÍNEA ESTRATÉGICA ECONÓMICA</v>
          </cell>
          <cell r="D136" t="str">
            <v>AGROPECUARIO</v>
          </cell>
          <cell r="E136" t="str">
            <v>Capacitar a 100 personas  que elaboren en fincas ganaderas en normatividad ICA</v>
          </cell>
        </row>
        <row r="137">
          <cell r="A137" t="str">
            <v>META-136</v>
          </cell>
          <cell r="B137" t="str">
            <v>202500000009592</v>
          </cell>
          <cell r="C137" t="str">
            <v>POR EL SUPATÁ SOÑADO AVANZAMOS JUNTOS EN LA LÍNEA ESTRATÉGICA ECONÓMICA</v>
          </cell>
          <cell r="D137" t="str">
            <v>AGROPECUARIO</v>
          </cell>
          <cell r="E137" t="str">
            <v>Organizar (4) ferias agropecuarias</v>
          </cell>
        </row>
        <row r="138">
          <cell r="A138" t="str">
            <v>META-137</v>
          </cell>
          <cell r="B138" t="str">
            <v>202500000008911</v>
          </cell>
          <cell r="C138" t="str">
            <v>POR EL SUPATÁ SOÑADO AVANZAMOS JUNTOS EN LA LÍNEA ESTRATÉGICA ECONÓMICA</v>
          </cell>
          <cell r="D138" t="str">
            <v>AGROPECUARIO</v>
          </cell>
          <cell r="E138" t="str">
            <v xml:space="preserve">Realizar 500 procedimientos de esterilización canina y felina con el fin de hacer control de población canina y felina </v>
          </cell>
        </row>
        <row r="139">
          <cell r="A139" t="str">
            <v>META-138</v>
          </cell>
          <cell r="B139" t="str">
            <v>202500000009564</v>
          </cell>
          <cell r="C139" t="str">
            <v>POR EL SUPATÁ SOÑADO AVANZAMOS JUNTOS EN LA LÍNEA ESTRATÉGICA ECONÓMICA</v>
          </cell>
          <cell r="D139" t="str">
            <v>AGROPECUARIO</v>
          </cell>
          <cell r="E139" t="str">
            <v>Crear el plan agropecuario municipal</v>
          </cell>
        </row>
        <row r="140">
          <cell r="A140" t="str">
            <v>META-139</v>
          </cell>
          <cell r="B140" t="str">
            <v>202500000008931</v>
          </cell>
          <cell r="C140" t="str">
            <v>POR EL SUPATÁ SOÑADO AVANZAMOS JUNTOS EN LA LÍNEA ESTRATÉGICA ECONÓMICA</v>
          </cell>
          <cell r="D140" t="str">
            <v>AGROPECUARIO</v>
          </cell>
          <cell r="E140" t="str">
            <v xml:space="preserve">Realizar 500 chequeos reproductivos  en ganado bovino de los diferentes productores del municipio </v>
          </cell>
        </row>
        <row r="141">
          <cell r="A141" t="str">
            <v>META-140</v>
          </cell>
          <cell r="B141" t="str">
            <v>202500000008931</v>
          </cell>
          <cell r="C141" t="str">
            <v>POR EL SUPATÁ SOÑADO AVANZAMOS JUNTOS EN LA LÍNEA ESTRATÉGICA ECONÓMICA</v>
          </cell>
          <cell r="D141" t="str">
            <v>AGROPECUARIO</v>
          </cell>
          <cell r="E141" t="str">
            <v>Reforzar 5 parcelas de cultivos tradicionales, implementando los pincipios basicos de conservación</v>
          </cell>
        </row>
        <row r="142">
          <cell r="A142" t="str">
            <v>META-141</v>
          </cell>
          <cell r="B142" t="str">
            <v>202500000008931</v>
          </cell>
          <cell r="C142" t="str">
            <v>POR EL SUPATÁ SOÑADO AVANZAMOS JUNTOS EN LA LÍNEA ESTRATÉGICA ECONÓMICA</v>
          </cell>
          <cell r="D142" t="str">
            <v>AGROPECUARIO</v>
          </cell>
          <cell r="E142" t="str">
            <v>Realizar 400 inseminaciones artificiales en ganado bovino de los diferentes productores</v>
          </cell>
        </row>
        <row r="143">
          <cell r="A143" t="str">
            <v>META-142</v>
          </cell>
          <cell r="B143" t="str">
            <v>202500000008931</v>
          </cell>
          <cell r="C143" t="str">
            <v>POR EL SUPATÁ SOÑADO AVANZAMOS JUNTOS EN LA LÍNEA ESTRATÉGICA ECONÓMICA</v>
          </cell>
          <cell r="D143" t="str">
            <v>AGROPECUARIO</v>
          </cell>
          <cell r="E143" t="str">
            <v>Mantener el (1) proyecto de mejoramiento genético</v>
          </cell>
        </row>
        <row r="144">
          <cell r="A144" t="str">
            <v>META-143</v>
          </cell>
          <cell r="B144" t="str">
            <v>2024257770029</v>
          </cell>
          <cell r="C144" t="str">
            <v>POR EL SUPATÁ SOÑADO AVANZAMOS JUNTOS EN LA LÍNEA ESTRATÉGICA ECONÓMICA</v>
          </cell>
          <cell r="D144" t="str">
            <v>AGROPECUARIO</v>
          </cell>
          <cell r="E144" t="str">
            <v>Ajustar los estudios y diseños del distrito de riego para solicitar financiacion en una entidad nacional</v>
          </cell>
        </row>
        <row r="145">
          <cell r="A145" t="str">
            <v>META-144</v>
          </cell>
          <cell r="B145" t="str">
            <v>2024257770029</v>
          </cell>
          <cell r="C145" t="str">
            <v>POR EL SUPATÁ SOÑADO AVANZAMOS JUNTOS EN LA LÍNEA ESTRATÉGICA ECONÓMICA</v>
          </cell>
          <cell r="D145" t="str">
            <v>AGROPECUARIO</v>
          </cell>
          <cell r="E145" t="str">
            <v xml:space="preserve">gestionar los estudios y diseños de un centro de acopio para productos agropecuarios. </v>
          </cell>
        </row>
        <row r="146">
          <cell r="A146" t="str">
            <v>META-145</v>
          </cell>
          <cell r="B146" t="str">
            <v>2024257770030</v>
          </cell>
          <cell r="C146" t="str">
            <v>POR EL SUPATÁ SOÑADO AVANZAMOS JUNTOS EN LA LÍNEA ESTRATÉGICA INSTITUCIONAL</v>
          </cell>
          <cell r="D146" t="str">
            <v>FORTALECIMIENTO INSTITUCIONAL</v>
          </cell>
          <cell r="E146" t="str">
            <v>Apoyo Jurídico y operativo para el proceso de cobro coactivo y la actualización del estatuto tributario Municipal.</v>
          </cell>
        </row>
        <row r="147">
          <cell r="A147" t="str">
            <v>META-146</v>
          </cell>
          <cell r="B147" t="str">
            <v>2024257770030</v>
          </cell>
          <cell r="C147" t="str">
            <v>POR EL SUPATÁ SOÑADO AVANZAMOS JUNTOS EN LA LÍNEA ESTRATÉGICA INSTITUCIONAL</v>
          </cell>
          <cell r="D147" t="str">
            <v>FORTALECIMIENTO INSTITUCIONAL</v>
          </cell>
          <cell r="E147" t="str">
            <v>Modernización Tecnológica y administrativa para la Gestión Financiera y Fiscal del Municipio de Supatá Cundinamarca</v>
          </cell>
        </row>
        <row r="148">
          <cell r="A148" t="str">
            <v>META-147</v>
          </cell>
          <cell r="B148" t="str">
            <v>2024257770030</v>
          </cell>
          <cell r="C148" t="str">
            <v>POR EL SUPATÁ SOÑADO AVANZAMOS JUNTOS EN LA LÍNEA ESTRATÉGICA INSTITUCIONAL</v>
          </cell>
          <cell r="D148" t="str">
            <v>FORTALECIMIENTO INSTITUCIONAL</v>
          </cell>
          <cell r="E148" t="str">
            <v>Implementar un  programa  anual para el Fortalecimiento Institucional</v>
          </cell>
        </row>
        <row r="149">
          <cell r="A149" t="str">
            <v>META-148</v>
          </cell>
          <cell r="B149" t="str">
            <v>2024257770030</v>
          </cell>
          <cell r="C149" t="str">
            <v>POR EL SUPATÁ SOÑADO AVANZAMOS JUNTOS EN LA LÍNEA ESTRATÉGICA INSTITUCIONAL</v>
          </cell>
          <cell r="D149" t="str">
            <v>FORTALECIMIENTO INSTITUCIONAL</v>
          </cell>
          <cell r="E149" t="str">
            <v>Realizar un mantenimiento anual de los bienes inmuebles  de propiedad del municipio en el cuatrienio.</v>
          </cell>
        </row>
        <row r="150">
          <cell r="A150" t="str">
            <v>META-149</v>
          </cell>
          <cell r="B150" t="str">
            <v>2024257770030</v>
          </cell>
          <cell r="C150" t="str">
            <v>POR EL SUPATÁ SOÑADO AVANZAMOS JUNTOS EN LA LÍNEA ESTRATÉGICA INSTITUCIONAL</v>
          </cell>
          <cell r="D150" t="str">
            <v>FORTALECIMIENTO INSTITUCIONAL</v>
          </cell>
          <cell r="E150" t="str">
            <v>Realizar construcción de la infraestructura de la Casa de Gobierno del municipio</v>
          </cell>
        </row>
        <row r="151">
          <cell r="A151" t="str">
            <v>META-150</v>
          </cell>
          <cell r="B151" t="str">
            <v>2024257770030</v>
          </cell>
          <cell r="C151" t="str">
            <v>POR EL SUPATÁ SOÑADO AVANZAMOS JUNTOS EN LA LÍNEA ESTRATÉGICA INSTITUCIONAL</v>
          </cell>
          <cell r="D151" t="str">
            <v>FORTALECIMIENTO INSTITUCIONAL</v>
          </cell>
          <cell r="E151" t="str">
            <v>Implementar y ejecutar un Programa anual del Sistema General de Seguridad y Salud en el trabajo en el cuatrienio</v>
          </cell>
        </row>
        <row r="152">
          <cell r="A152" t="str">
            <v>META-151</v>
          </cell>
          <cell r="B152" t="str">
            <v>2024257770030</v>
          </cell>
          <cell r="C152" t="str">
            <v>POR EL SUPATÁ SOÑADO AVANZAMOS JUNTOS EN LA LÍNEA ESTRATÉGICA INSTITUCIONAL</v>
          </cell>
          <cell r="D152" t="str">
            <v>FORTALECIMIENTO INSTITUCIONAL</v>
          </cell>
          <cell r="E152" t="str">
            <v>Realizar anualmente  la contratacion de personal especializado, profesional, tecnico y asistencial en la prestacion de servicios y  apoyo de la gestion en las dependencias de la administracion municipal</v>
          </cell>
        </row>
        <row r="153">
          <cell r="A153" t="str">
            <v>META-152</v>
          </cell>
          <cell r="B153" t="str">
            <v>2024257770030</v>
          </cell>
          <cell r="C153" t="str">
            <v>POR EL SUPATÁ SOÑADO AVANZAMOS JUNTOS EN LA LÍNEA ESTRATÉGICA INSTITUCIONAL</v>
          </cell>
          <cell r="D153" t="str">
            <v>FORTALECIMIENTO INSTITUCIONAL</v>
          </cell>
          <cell r="E153" t="str">
            <v>Implementar un Plan Anual de Bienestar  e Incentivos para los funcionarios de la administración municipal</v>
          </cell>
        </row>
        <row r="154">
          <cell r="A154" t="str">
            <v>META-153</v>
          </cell>
          <cell r="B154" t="str">
            <v>2024257770030</v>
          </cell>
          <cell r="C154" t="str">
            <v>POR EL SUPATÁ SOÑADO AVANZAMOS JUNTOS EN LA LÍNEA ESTRATÉGICA INSTITUCIONAL</v>
          </cell>
          <cell r="D154" t="str">
            <v>FORTALECIMIENTO INSTITUCIONAL</v>
          </cell>
          <cell r="E154" t="str">
            <v>Organizar los archivos de gestión y fondos acumulados de la Administración Municipal  de acuerdo a las  normas vigentes relacionada con los archivos, durante el cuatrienio</v>
          </cell>
        </row>
        <row r="155">
          <cell r="A155" t="str">
            <v>META-154</v>
          </cell>
          <cell r="B155" t="str">
            <v>2024257770031</v>
          </cell>
          <cell r="C155" t="str">
            <v>POR EL SUPATÁ SOÑADO AVANZAMOS JUNTOS EN LA LÍNEA ESTRATÉGICA INSTITUCIONAL</v>
          </cell>
          <cell r="D155" t="str">
            <v>FORTALECIMIENTO INSTITUCIONAL</v>
          </cell>
          <cell r="E155" t="str">
            <v>Realizar (8) reuniones del CMGRD para el establecimiento de mecanismos alerta y reacción ante situaciones de riesgo.</v>
          </cell>
        </row>
        <row r="156">
          <cell r="A156" t="str">
            <v>META-155</v>
          </cell>
          <cell r="B156" t="str">
            <v>2024257770031</v>
          </cell>
          <cell r="C156" t="str">
            <v>POR EL SUPATÁ SOÑADO AVANZAMOS JUNTOS EN LA LÍNEA ESTRATÉGICA INSTITUCIONAL</v>
          </cell>
          <cell r="D156" t="str">
            <v>FORTALECIMIENTO INSTITUCIONAL</v>
          </cell>
          <cell r="E156" t="str">
            <v>Realizar un convenio con el cuerpo de bomberos</v>
          </cell>
        </row>
        <row r="157">
          <cell r="A157" t="str">
            <v>META-156</v>
          </cell>
          <cell r="B157" t="str">
            <v>2024257770031</v>
          </cell>
          <cell r="C157" t="str">
            <v>POR EL SUPATÁ SOÑADO AVANZAMOS JUNTOS EN LA LÍNEA ESTRATÉGICA INSTITUCIONAL</v>
          </cell>
          <cell r="D157" t="str">
            <v>FORTALECIMIENTO INSTITUCIONAL</v>
          </cell>
          <cell r="E157" t="str">
            <v>Realizar  obras  de mitigación del Riesgo</v>
          </cell>
        </row>
        <row r="158">
          <cell r="A158" t="str">
            <v>META-157</v>
          </cell>
          <cell r="B158" t="str">
            <v>2024257770031</v>
          </cell>
          <cell r="C158" t="str">
            <v>POR EL SUPATÁ SOÑADO AVANZAMOS JUNTOS EN LA LÍNEA ESTRATÉGICA INSTITUCIONAL</v>
          </cell>
          <cell r="D158" t="str">
            <v>FORTALECIMIENTO INSTITUCIONAL</v>
          </cell>
          <cell r="E158" t="str">
            <v>Realizar anualmente (1) asistencia tecnica de apoyo a los grupos de socorro</v>
          </cell>
        </row>
        <row r="159">
          <cell r="A159" t="str">
            <v>META-158</v>
          </cell>
          <cell r="B159" t="str">
            <v>2024257770031</v>
          </cell>
          <cell r="C159" t="str">
            <v>POR EL SUPATÁ SOÑADO AVANZAMOS JUNTOS EN LA LÍNEA ESTRATÉGICA INSTITUCIONAL</v>
          </cell>
          <cell r="D159" t="str">
            <v>FORTALECIMIENTO INSTITUCIONAL</v>
          </cell>
          <cell r="E159" t="str">
            <v>Actualizar el plan de gestión del riesgo de desastres y estrategia para la respuesta a emergencias</v>
          </cell>
        </row>
        <row r="160">
          <cell r="A160" t="str">
            <v>META-159</v>
          </cell>
          <cell r="B160" t="str">
            <v>2024257770031</v>
          </cell>
          <cell r="C160" t="str">
            <v>POR EL SUPATÁ SOÑADO AVANZAMOS JUNTOS EN LA LÍNEA ESTRATÉGICA INSTITUCIONAL</v>
          </cell>
          <cell r="D160" t="str">
            <v>FORTALECIMIENTO INSTITUCIONAL</v>
          </cell>
          <cell r="E160" t="str">
            <v>Capacitar a 20 lideres comunitarios en tema de atención y prevención de Gestión del Riesgo</v>
          </cell>
        </row>
        <row r="161">
          <cell r="A161" t="str">
            <v>META-160</v>
          </cell>
          <cell r="B161" t="str">
            <v>2024257770031</v>
          </cell>
          <cell r="C161" t="str">
            <v>POR EL SUPATÁ SOÑADO AVANZAMOS JUNTOS EN LA LÍNEA ESTRATÉGICA INSTITUCIONAL</v>
          </cell>
          <cell r="D161" t="str">
            <v>FORTALECIMIENTO INSTITUCIONAL</v>
          </cell>
          <cell r="E161" t="str">
            <v>Realizar (4) simulacros de evacuación</v>
          </cell>
        </row>
        <row r="162">
          <cell r="A162" t="str">
            <v>META-161</v>
          </cell>
          <cell r="B162" t="str">
            <v>2024257770031</v>
          </cell>
          <cell r="C162" t="str">
            <v>POR EL SUPATÁ SOÑADO AVANZAMOS JUNTOS EN LA LÍNEA ESTRATÉGICA INSTITUCIONAL</v>
          </cell>
          <cell r="D162" t="str">
            <v>FORTALECIMIENTO INSTITUCIONAL</v>
          </cell>
          <cell r="E162" t="str">
            <v>Implementar un programa anual  para la  ayuda humanitaria y la atención de la población afectada por desastres y emergencias sanitarias</v>
          </cell>
        </row>
        <row r="163">
          <cell r="A163" t="str">
            <v>META-162</v>
          </cell>
          <cell r="B163" t="str">
            <v>2024257770031</v>
          </cell>
          <cell r="C163" t="str">
            <v>POR EL SUPATÁ SOÑADO AVANZAMOS JUNTOS EN LA LÍNEA ESTRATÉGICA INSTITUCIONAL</v>
          </cell>
          <cell r="D163" t="str">
            <v>FORTALECIMIENTO INSTITUCIONAL</v>
          </cell>
          <cell r="E163" t="str">
            <v>Realizar ( 4) capacitaciones del comité Local de Atención y Prevención de Desastres en atención y prevención del riesgo</v>
          </cell>
        </row>
        <row r="164">
          <cell r="A164" t="str">
            <v>META-163</v>
          </cell>
          <cell r="B164" t="str">
            <v>2024257770032</v>
          </cell>
          <cell r="C164" t="str">
            <v>POR EL SUPATÁ SOÑADO AVANZAMOS JUNTOS EN LA LÍNEA ESTRATÉGICA INSTITUCIONAL</v>
          </cell>
          <cell r="D164" t="str">
            <v>DESARROLLO COMUNITARIO</v>
          </cell>
          <cell r="E164" t="str">
            <v xml:space="preserve">Efectuar 04 actividades encaminadas a reactivar y fortalecer los espacios de participación. </v>
          </cell>
        </row>
        <row r="165">
          <cell r="A165" t="str">
            <v>META-164</v>
          </cell>
          <cell r="B165" t="str">
            <v>2024257770032</v>
          </cell>
          <cell r="C165" t="str">
            <v>POR EL SUPATÁ SOÑADO AVANZAMOS JUNTOS EN LA LÍNEA ESTRATÉGICA INSTITUCIONAL</v>
          </cell>
          <cell r="D165" t="str">
            <v>DESARROLLO COMUNITARIO</v>
          </cell>
          <cell r="E165" t="str">
            <v>Realizar 04 capacitaciones para fortalecer las juntas de acción comunal.</v>
          </cell>
        </row>
        <row r="166">
          <cell r="A166" t="str">
            <v>META-165</v>
          </cell>
          <cell r="B166" t="str">
            <v>2024257770032</v>
          </cell>
          <cell r="C166" t="str">
            <v>POR EL SUPATÁ SOÑADO AVANZAMOS JUNTOS EN LA LÍNEA ESTRATÉGICA INSTITUCIONAL</v>
          </cell>
          <cell r="D166" t="str">
            <v>DESARROLLO COMUNITARIO</v>
          </cell>
          <cell r="E166" t="str">
            <v>Realizar 4 rendiciones de cuentas sobre la gestión de la administración municipal.</v>
          </cell>
        </row>
        <row r="167">
          <cell r="A167" t="str">
            <v>META-166</v>
          </cell>
          <cell r="B167" t="str">
            <v>2024257770032</v>
          </cell>
          <cell r="C167" t="str">
            <v>POR EL SUPATÁ SOÑADO AVANZAMOS JUNTOS EN LA LÍNEA ESTRATÉGICA INSTITUCIONAL</v>
          </cell>
          <cell r="D167" t="str">
            <v>DESARROLLO COMUNITARIO</v>
          </cell>
          <cell r="E167" t="str">
            <v>Promover 1 veeduría ciudadana como espacio garante de control social.</v>
          </cell>
        </row>
        <row r="168">
          <cell r="A168" t="str">
            <v>META-167</v>
          </cell>
          <cell r="B168" t="str">
            <v>2024257770033</v>
          </cell>
          <cell r="C168" t="str">
            <v>POR EL SUPATÁ SOÑADO AVANZAMOS JUNTOS EN LA LÍNEA ESTRATÉGICA INSTITUCIONAL</v>
          </cell>
          <cell r="D168" t="str">
            <v>DESARROLLO COMUNITARIO</v>
          </cell>
          <cell r="E168" t="str">
            <v>Actualizar el plan integral de convivencia ciudadana</v>
          </cell>
        </row>
        <row r="169">
          <cell r="A169" t="str">
            <v>META-168</v>
          </cell>
          <cell r="B169" t="str">
            <v>2024257770033</v>
          </cell>
          <cell r="C169" t="str">
            <v>POR EL SUPATÁ SOÑADO AVANZAMOS JUNTOS EN LA LÍNEA ESTRATÉGICA INSTITUCIONAL</v>
          </cell>
          <cell r="D169" t="str">
            <v>DESARROLLO COMUNITARIO</v>
          </cell>
          <cell r="E169" t="str">
            <v>Realizar (4) actividades que involucren temas de seguridad y colaboración.</v>
          </cell>
        </row>
        <row r="170">
          <cell r="A170" t="str">
            <v>META-169</v>
          </cell>
          <cell r="B170" t="str">
            <v>2024257770033</v>
          </cell>
          <cell r="C170" t="str">
            <v>POR EL SUPATÁ SOÑADO AVANZAMOS JUNTOS EN LA LÍNEA ESTRATÉGICA INSTITUCIONAL</v>
          </cell>
          <cell r="D170" t="str">
            <v>DESARROLLO COMUNITARIO</v>
          </cell>
          <cell r="E170" t="str">
            <v>Realizar 4 asistencias tecnicas sobre prevención a violaciones de derechos humanos</v>
          </cell>
        </row>
        <row r="171">
          <cell r="A171" t="str">
            <v>META-170</v>
          </cell>
          <cell r="B171" t="str">
            <v>202500000008932</v>
          </cell>
          <cell r="C171" t="str">
            <v>POR EL SUPATÁ SOÑADO AVANZAMOS JUNTOS EN LA LÍNEA ESTRATÉGICA INSTITUCIONAL</v>
          </cell>
          <cell r="D171" t="str">
            <v>TRABAJO</v>
          </cell>
          <cell r="E171" t="str">
            <v>Realizar 4 eventos sobre gestion de emprendimientos</v>
          </cell>
        </row>
        <row r="172">
          <cell r="A172" t="str">
            <v>META-171</v>
          </cell>
          <cell r="B172" t="str">
            <v>2024257770035</v>
          </cell>
          <cell r="C172" t="str">
            <v>POR EL SUPATÁ SOÑADO AVANZAMOS JUNTOS EN LA LÍNEA ESTRATÉGICA INSTITUCIONAL</v>
          </cell>
          <cell r="D172" t="str">
            <v>JUSTICIA Y SEGURIDAD CIUDADANA</v>
          </cell>
          <cell r="E172" t="str">
            <v>fortalecer el grupo interdisciplinario de la comisaria de familia para Garantizar, proteger, restablecer y reparar los derechos de los miembros de la familia sgp libre destinacion 135millones + 15 m pro justicia familiar estampilla todos los años</v>
          </cell>
        </row>
        <row r="173">
          <cell r="A173" t="str">
            <v>META-172</v>
          </cell>
          <cell r="B173" t="str">
            <v>2024257770035</v>
          </cell>
          <cell r="C173" t="str">
            <v>POR EL SUPATÁ SOÑADO AVANZAMOS JUNTOS EN LA LÍNEA ESTRATÉGICA INSTITUCIONAL</v>
          </cell>
          <cell r="D173" t="str">
            <v>JUSTICIA Y SEGURIDAD CIUDADANA</v>
          </cell>
          <cell r="E173" t="str">
            <v>Apoyar anualmente a la inspeccion de policia  90Millones SPG libre destinación todos los años auumentar 5% al año</v>
          </cell>
        </row>
        <row r="174">
          <cell r="A174" t="str">
            <v>META-173</v>
          </cell>
          <cell r="B174" t="str">
            <v>2024257770035</v>
          </cell>
          <cell r="C174" t="str">
            <v>POR EL SUPATÁ SOÑADO AVANZAMOS JUNTOS EN LA LÍNEA ESTRATÉGICA INSTITUCIONAL</v>
          </cell>
          <cell r="D174" t="str">
            <v>JUSTICIA Y SEGURIDAD CIUDADANA</v>
          </cell>
          <cell r="E174" t="str">
            <v xml:space="preserve">Realizar (1) acción para la implementación de herramientas tecnologicas de seguridad  CAMARAS DE VIGILANCIA </v>
          </cell>
        </row>
        <row r="175">
          <cell r="A175" t="str">
            <v>META-174</v>
          </cell>
          <cell r="B175" t="str">
            <v>2024257770035</v>
          </cell>
          <cell r="C175" t="str">
            <v>POR EL SUPATÁ SOÑADO AVANZAMOS JUNTOS EN LA LÍNEA ESTRATÉGICA INSTITUCIONAL</v>
          </cell>
          <cell r="D175" t="str">
            <v>JUSTICIA Y SEGURIDAD CIUDADANA</v>
          </cell>
          <cell r="E175" t="str">
            <v>Realizar 24 Consejos de Seguridad</v>
          </cell>
        </row>
        <row r="176">
          <cell r="A176" t="str">
            <v>META-175</v>
          </cell>
          <cell r="B176" t="str">
            <v>2024257770036</v>
          </cell>
          <cell r="C176" t="str">
            <v>POR EL SUPATÁ SOÑADO AVANZAMOS JUNTOS EN LA LÍNEA ESTRATÉGICA INSTITUCIONAL</v>
          </cell>
          <cell r="D176" t="str">
            <v>JUSTICIA Y SEGURIDAD CIUDADANA</v>
          </cell>
          <cell r="E176" t="str">
            <v>Realizar cuatro (4) campañas para la prevención en material penal</v>
          </cell>
        </row>
        <row r="177">
          <cell r="A177" t="str">
            <v>META-176</v>
          </cell>
          <cell r="B177" t="str">
            <v>202500000008965</v>
          </cell>
          <cell r="C177" t="str">
            <v>POR EL SUPATÁ SOÑADO AVANZAMOS JUNTOS EN LA LÍNEA ESTRATÉGICA INSTITUCIONAL</v>
          </cell>
          <cell r="D177" t="str">
            <v>JUSTICIA Y SEGURIDAD CIUDADANA</v>
          </cell>
          <cell r="E177" t="str">
            <v>Garantizar anualmente el suministro de alimentación a las personas privadas de la libertad</v>
          </cell>
        </row>
        <row r="178">
          <cell r="A178" t="str">
            <v>META-177</v>
          </cell>
          <cell r="B178" t="str">
            <v>202500000008965</v>
          </cell>
          <cell r="C178" t="str">
            <v>POR EL SUPATÁ SOÑADO AVANZAMOS JUNTOS EN LA LÍNEA ESTRATÉGICA INSTITUCIONAL</v>
          </cell>
          <cell r="D178" t="str">
            <v>JUSTICIA Y SEGURIDAD CIUDADANA</v>
          </cell>
          <cell r="E178" t="str">
            <v>Fortalecer anualmente el funcionamiento de las fuerzas publicas con los recursos del fonde de seguridad</v>
          </cell>
        </row>
        <row r="179">
          <cell r="A179" t="str">
            <v>META-178</v>
          </cell>
          <cell r="B179" t="str">
            <v>202500000008965</v>
          </cell>
          <cell r="C179" t="str">
            <v>POR EL SUPATÁ SOÑADO AVANZAMOS JUNTOS EN LA LÍNEA ESTRATÉGICA INSTITUCIONAL</v>
          </cell>
          <cell r="D179" t="str">
            <v>JUSTICIA Y SEGURIDAD CIUDADANA</v>
          </cell>
          <cell r="E179" t="str">
            <v>Realizar (1) convenio anual con el Inpec de conformidad con los lineamientos establecidos de la ley 10 millones sgp libre inversion</v>
          </cell>
        </row>
        <row r="180">
          <cell r="A180" t="str">
            <v>META-179</v>
          </cell>
          <cell r="B180" t="str">
            <v>2024257770038</v>
          </cell>
          <cell r="C180" t="str">
            <v>POR EL SUPATÁ SOÑADO AVANZAMOS JUNTOS EN LA LÍNEA ESTRATÉGICA AMBIENTAL</v>
          </cell>
          <cell r="D180" t="str">
            <v>SERVICIOS DIFERENTES APSB</v>
          </cell>
          <cell r="E180" t="str">
            <v>Realizar la ampliación del sistema de alumbrado publico</v>
          </cell>
        </row>
        <row r="181">
          <cell r="A181" t="str">
            <v>META-180</v>
          </cell>
          <cell r="B181" t="str">
            <v>2024257770038</v>
          </cell>
          <cell r="C181" t="str">
            <v>POR EL SUPATÁ SOÑADO AVANZAMOS JUNTOS EN LA LÍNEA ESTRATÉGICA AMBIENTAL</v>
          </cell>
          <cell r="D181" t="str">
            <v>SERVICIOS DIFERENTES APSB</v>
          </cell>
          <cell r="E181" t="str">
            <v>Garantizar el optimo funcionamiento del sistema de alummbrado público</v>
          </cell>
        </row>
        <row r="182">
          <cell r="A182" t="str">
            <v>META-181</v>
          </cell>
          <cell r="B182" t="str">
            <v>2024257770038</v>
          </cell>
          <cell r="C182" t="str">
            <v>POR EL SUPATÁ SOÑADO AVANZAMOS JUNTOS EN LA LÍNEA ESTRATÉGICA AMBIENTAL</v>
          </cell>
          <cell r="D182" t="str">
            <v>SERVICIOS DIFERENTES APSB</v>
          </cell>
          <cell r="E182" t="str">
            <v>Realizar anualmente los pagos de servicio de alumbrado público</v>
          </cell>
        </row>
        <row r="183">
          <cell r="A183" t="str">
            <v>META-182</v>
          </cell>
          <cell r="B183" t="str">
            <v>2024257770038</v>
          </cell>
          <cell r="C183" t="str">
            <v>POR EL SUPATÁ SOÑADO AVANZAMOS JUNTOS EN LA LÍNEA ESTRATÉGICA AMBIENTAL</v>
          </cell>
          <cell r="D183" t="str">
            <v>SERVICIOS DIFERENTES APSB</v>
          </cell>
          <cell r="E183" t="str">
            <v>Realizar un (1) estudio tecnico del servicio de Alumbrado Público</v>
          </cell>
        </row>
        <row r="184">
          <cell r="A184" t="str">
            <v>META-183</v>
          </cell>
          <cell r="B184" t="str">
            <v>2024257770038</v>
          </cell>
          <cell r="C184" t="str">
            <v>POR EL SUPATÁ SOÑADO AVANZAMOS JUNTOS EN LA LÍNEA ESTRATÉGICA AMBIENTAL</v>
          </cell>
          <cell r="D184" t="str">
            <v>SERVICIOS DIFERENTES APSB</v>
          </cell>
          <cell r="E184" t="str">
            <v>gestionar la implementación de energías alternativas</v>
          </cell>
        </row>
        <row r="185">
          <cell r="A185" t="str">
            <v>META-184</v>
          </cell>
          <cell r="B185" t="str">
            <v>2024257770039</v>
          </cell>
          <cell r="C185" t="str">
            <v>POR EL SUPATÁ SOÑADO AVANZAMOS JUNTOS EN LA LÍNEA ESTRATÉGICA AMBIENTAL</v>
          </cell>
          <cell r="D185" t="str">
            <v>SERVICIOS DIFERENTES APSB</v>
          </cell>
          <cell r="E185" t="str">
            <v>Ampliar beneficiarios del servicio de gas</v>
          </cell>
        </row>
        <row r="186">
          <cell r="A186" t="str">
            <v>META-185</v>
          </cell>
          <cell r="B186" t="str">
            <v>202500000008969</v>
          </cell>
          <cell r="C186" t="str">
            <v>POR EL SUPATÁ SOÑADO AVANZAMOS JUNTOS EN LA LÍNEA ESTRATÉGICA AMBIENTAL</v>
          </cell>
          <cell r="D186" t="str">
            <v>AMBIENTE</v>
          </cell>
          <cell r="E186" t="str">
            <v>Adelantar acciones para la implementación del plan de adaptación al cambio climático</v>
          </cell>
        </row>
        <row r="187">
          <cell r="A187" t="str">
            <v>META-186</v>
          </cell>
          <cell r="B187" t="str">
            <v>202500000008969</v>
          </cell>
          <cell r="C187" t="str">
            <v>POR EL SUPATÁ SOÑADO AVANZAMOS JUNTOS EN LA LÍNEA ESTRATÉGICA AMBIENTAL</v>
          </cell>
          <cell r="D187" t="str">
            <v>AMBIENTE</v>
          </cell>
          <cell r="E187" t="str">
            <v>Realizar 4 campañas que aporten a la disminución de contaminantes por residuos solidos.</v>
          </cell>
        </row>
        <row r="188">
          <cell r="A188" t="str">
            <v>META-187</v>
          </cell>
          <cell r="B188" t="str">
            <v>202500000008969</v>
          </cell>
          <cell r="C188" t="str">
            <v>POR EL SUPATÁ SOÑADO AVANZAMOS JUNTOS EN LA LÍNEA ESTRATÉGICA AMBIENTAL</v>
          </cell>
          <cell r="D188" t="str">
            <v>AMBIENTE</v>
          </cell>
          <cell r="E188" t="str">
            <v>Realizar el calculo de la huella de carbono del palacio municipal</v>
          </cell>
        </row>
        <row r="189">
          <cell r="A189" t="str">
            <v>META-188</v>
          </cell>
          <cell r="B189" t="str">
            <v>202500000009590</v>
          </cell>
          <cell r="C189" t="str">
            <v>POR EL SUPATÁ SOÑADO AVANZAMOS JUNTOS EN LA LÍNEA ESTRATÉGICA AMBIENTAL</v>
          </cell>
          <cell r="D189" t="str">
            <v>AMBIENTE</v>
          </cell>
          <cell r="E189" t="str">
            <v>Adoptar el 50% de las metas de la política de educación ambiental propuesta por las Corporaciones autónomas regionales en cada territorio</v>
          </cell>
        </row>
        <row r="190">
          <cell r="A190" t="str">
            <v>META-189</v>
          </cell>
          <cell r="B190" t="str">
            <v>202500000009590</v>
          </cell>
          <cell r="C190" t="str">
            <v>POR EL SUPATÁ SOÑADO AVANZAMOS JUNTOS EN LA LÍNEA ESTRATÉGICA AMBIENTAL</v>
          </cell>
          <cell r="D190" t="str">
            <v>AMBIENTE</v>
          </cell>
          <cell r="E190" t="str">
            <v>Implementar 4 capacitaciones y/o talleres con estrategias hacia la educación ambiental y sensibilización hacia el cuidado de los recursos hidricos</v>
          </cell>
        </row>
        <row r="191">
          <cell r="A191" t="str">
            <v>META-190</v>
          </cell>
          <cell r="B191" t="str">
            <v>202500000009587</v>
          </cell>
          <cell r="C191" t="str">
            <v>POR EL SUPATÁ SOÑADO AVANZAMOS JUNTOS EN LA LÍNEA ESTRATÉGICA AMBIENTAL</v>
          </cell>
          <cell r="D191" t="str">
            <v>AMBIENTE</v>
          </cell>
          <cell r="E191" t="str">
            <v xml:space="preserve">Implementar la política pública de bienestar animal </v>
          </cell>
        </row>
        <row r="192">
          <cell r="A192" t="str">
            <v>META-191</v>
          </cell>
          <cell r="B192" t="str">
            <v>202500000009587</v>
          </cell>
          <cell r="C192" t="str">
            <v>POR EL SUPATÁ SOÑADO AVANZAMOS JUNTOS EN LA LÍNEA ESTRATÉGICA AMBIENTAL</v>
          </cell>
          <cell r="D192" t="str">
            <v>AMBIENTE</v>
          </cell>
          <cell r="E192" t="str">
            <v>Realizar (4) jornadas de reforestación y cultura ambiental</v>
          </cell>
        </row>
        <row r="193">
          <cell r="A193" t="str">
            <v>META-192</v>
          </cell>
          <cell r="B193" t="str">
            <v>202500000009587</v>
          </cell>
          <cell r="C193" t="str">
            <v>POR EL SUPATÁ SOÑADO AVANZAMOS JUNTOS EN LA LÍNEA ESTRATÉGICA AMBIENTAL</v>
          </cell>
          <cell r="D193" t="str">
            <v>AMBIENTE</v>
          </cell>
          <cell r="E193" t="str">
            <v>Incentivar el pago por servicios ambientales</v>
          </cell>
        </row>
        <row r="194">
          <cell r="A194" t="str">
            <v>META-193</v>
          </cell>
          <cell r="B194" t="str">
            <v>202500000009587</v>
          </cell>
          <cell r="C194" t="str">
            <v>POR EL SUPATÁ SOÑADO AVANZAMOS JUNTOS EN LA LÍNEA ESTRATÉGICA AMBIENTAL</v>
          </cell>
          <cell r="D194" t="str">
            <v>AMBIENTE</v>
          </cell>
          <cell r="E194" t="str">
            <v>Reactivar la junta defensora de animales</v>
          </cell>
        </row>
        <row r="195">
          <cell r="A195" t="str">
            <v>META-194</v>
          </cell>
          <cell r="B195" t="str">
            <v>202500000009587</v>
          </cell>
          <cell r="C195" t="str">
            <v>POR EL SUPATÁ SOÑADO AVANZAMOS JUNTOS EN LA LÍNEA ESTRATÉGICA AMBIENTAL</v>
          </cell>
          <cell r="D195" t="str">
            <v>AMBIENTE</v>
          </cell>
          <cell r="E195" t="str">
            <v>Realizar 4 campañas de prevención de la deforestació, el manejo forestal, seguimiento de reforestación y el aprovechamiento sostenible de los recursos naturales hídricos y forestales.</v>
          </cell>
        </row>
        <row r="196">
          <cell r="A196" t="str">
            <v>META-195</v>
          </cell>
          <cell r="B196" t="str">
            <v>2024257770043</v>
          </cell>
          <cell r="C196" t="str">
            <v>POR EL SUPATÁ SOÑADO AVANZAMOS JUNTOS EN LA LÍNEA ESTRATÉGICA AMBIENTAL</v>
          </cell>
          <cell r="D196" t="str">
            <v>AMBIENTE</v>
          </cell>
          <cell r="E196" t="str">
            <v>Adquirir (1) predio de importancia hídrica</v>
          </cell>
        </row>
        <row r="197">
          <cell r="A197" t="str">
            <v>META-196</v>
          </cell>
          <cell r="B197" t="str">
            <v>2024257770043</v>
          </cell>
          <cell r="C197" t="str">
            <v>POR EL SUPATÁ SOÑADO AVANZAMOS JUNTOS EN LA LÍNEA ESTRATÉGICA AMBIENTAL</v>
          </cell>
          <cell r="D197" t="str">
            <v>AMBIENTE</v>
          </cell>
          <cell r="E197" t="str">
            <v>Adaptar un (1) espacio ecologico en las instituciones educativas para reducir las emisiones de GEI en el municipio.</v>
          </cell>
        </row>
        <row r="198">
          <cell r="A198" t="str">
            <v>META-197</v>
          </cell>
          <cell r="B198" t="str">
            <v>2024257770043</v>
          </cell>
          <cell r="C198" t="str">
            <v>POR EL SUPATÁ SOÑADO AVANZAMOS JUNTOS EN LA LÍNEA ESTRATÉGICA AMBIENTAL</v>
          </cell>
          <cell r="D198" t="str">
            <v>AMBIENTE</v>
          </cell>
          <cell r="E198" t="str">
            <v>Elaborar un (1) Plan de Uso Eficiente y Ahorro del Agua – PUEAA</v>
          </cell>
        </row>
        <row r="199">
          <cell r="A199" t="str">
            <v>META-198</v>
          </cell>
          <cell r="B199" t="str">
            <v>202500000009063</v>
          </cell>
          <cell r="C199" t="str">
            <v>POR EL SUPATÁ SOÑADO AVANZAMOS JUNTOS EN LA LÍNEA ESTRATÉGICA AMBIENTAL</v>
          </cell>
          <cell r="D199" t="str">
            <v>AMBIENTE</v>
          </cell>
          <cell r="E199" t="str">
            <v>apoyar la implementación anual de los proyectos ambientales escolares PRAES</v>
          </cell>
        </row>
      </sheetData>
      <sheetData sheetId="2" refreshError="1"/>
      <sheetData sheetId="3" refreshError="1"/>
      <sheetData sheetId="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STRUCCIONES"/>
      <sheetName val="PLAN_DESARROLLO"/>
      <sheetName val="SECRETARIAS"/>
      <sheetName val="LISTAS"/>
      <sheetName val="44"/>
    </sheetNames>
    <sheetDataSet>
      <sheetData sheetId="0"/>
      <sheetData sheetId="1">
        <row r="1">
          <cell r="A1" t="str">
            <v>ID_META</v>
          </cell>
          <cell r="B1" t="str">
            <v>BPIM</v>
          </cell>
          <cell r="C1" t="str">
            <v>EJE</v>
          </cell>
          <cell r="D1" t="str">
            <v>SECTOR</v>
          </cell>
          <cell r="E1" t="str">
            <v>META_PRODUCTO</v>
          </cell>
        </row>
        <row r="2">
          <cell r="A2" t="str">
            <v>META-001</v>
          </cell>
          <cell r="B2" t="str">
            <v>2024257770003</v>
          </cell>
          <cell r="C2" t="str">
            <v>POR EL SUPATÁ SOÑADO AVANZAMOS JUNTOS EN LA LÍNEA ESTRATÉGICA SOCIAL</v>
          </cell>
          <cell r="D2" t="str">
            <v>EDUCACION</v>
          </cell>
          <cell r="E2" t="str">
            <v xml:space="preserve">Garantizar el 100% de transporte escolar de estudiantes que su institución educativa más cercana supere los 3 kilómetros de distancia desde la vivienda. </v>
          </cell>
        </row>
        <row r="3">
          <cell r="A3" t="str">
            <v>META-002</v>
          </cell>
          <cell r="B3" t="str">
            <v>2024257770003</v>
          </cell>
          <cell r="C3" t="str">
            <v>POR EL SUPATÁ SOÑADO AVANZAMOS JUNTOS EN LA LÍNEA ESTRATÉGICA SOCIAL</v>
          </cell>
          <cell r="D3" t="str">
            <v>EDUCACION</v>
          </cell>
          <cell r="E3" t="str">
            <v>Garantizar la gratuidad en la educación en el 100% de las Instituciones y sedes Educativas del municipio.</v>
          </cell>
        </row>
        <row r="4">
          <cell r="A4" t="str">
            <v>META-003</v>
          </cell>
          <cell r="B4" t="str">
            <v>2024257770003</v>
          </cell>
          <cell r="C4" t="str">
            <v>POR EL SUPATÁ SOÑADO AVANZAMOS JUNTOS EN LA LÍNEA ESTRATÉGICA SOCIAL</v>
          </cell>
          <cell r="D4" t="str">
            <v>EDUCACION</v>
          </cell>
          <cell r="E4" t="str">
            <v>Mantener la cobertura al 100% y fortalecer el servicio de los estudiantes con el servicio de alimentación escolar</v>
          </cell>
        </row>
        <row r="5">
          <cell r="A5" t="str">
            <v>META-004</v>
          </cell>
          <cell r="B5" t="str">
            <v>2024257770003</v>
          </cell>
          <cell r="C5" t="str">
            <v>POR EL SUPATÁ SOÑADO AVANZAMOS JUNTOS EN LA LÍNEA ESTRATÉGICA SOCIAL</v>
          </cell>
          <cell r="D5" t="str">
            <v>EDUCACION</v>
          </cell>
          <cell r="E5" t="str">
            <v xml:space="preserve">Fortalecer una estrategia extra curricular en fomento del idioma ingles </v>
          </cell>
        </row>
        <row r="6">
          <cell r="A6" t="str">
            <v>META-005</v>
          </cell>
          <cell r="B6" t="str">
            <v>2024257770004</v>
          </cell>
          <cell r="C6" t="str">
            <v>POR EL SUPATÁ SOÑADO AVANZAMOS JUNTOS EN LA LÍNEA ESTRATÉGICA SOCIAL</v>
          </cell>
          <cell r="D6" t="str">
            <v>EDUCACION</v>
          </cell>
          <cell r="E6" t="str">
            <v>Realizar 1 dotación de menaje en restaurante escolar de las diferentes sedes de las instituciones Nuestra Señora de la Salud  y el Imparal.)</v>
          </cell>
        </row>
        <row r="7">
          <cell r="A7" t="str">
            <v>META-006</v>
          </cell>
          <cell r="B7" t="str">
            <v>2024257770004</v>
          </cell>
          <cell r="C7" t="str">
            <v>POR EL SUPATÁ SOÑADO AVANZAMOS JUNTOS EN LA LÍNEA ESTRATÉGICA SOCIAL</v>
          </cell>
          <cell r="D7" t="str">
            <v>EDUCACION</v>
          </cell>
          <cell r="E7" t="str">
            <v xml:space="preserve">Mejoramiento y/o mantenimiento en infraestructura de las instituciones educativas y sus sedes. </v>
          </cell>
        </row>
        <row r="8">
          <cell r="A8" t="str">
            <v>META-007</v>
          </cell>
          <cell r="B8" t="str">
            <v>2024257770005</v>
          </cell>
          <cell r="C8" t="str">
            <v>POR EL SUPATÁ SOÑADO AVANZAMOS JUNTOS EN LA LÍNEA ESTRATÉGICA SOCIAL</v>
          </cell>
          <cell r="D8" t="str">
            <v>EDUCACION</v>
          </cell>
          <cell r="E8" t="str">
            <v xml:space="preserve">Construir 1 Alianza con SENA o instituciones de Educación Superior para oferta educativa </v>
          </cell>
        </row>
        <row r="9">
          <cell r="A9" t="str">
            <v>META-008</v>
          </cell>
          <cell r="B9" t="str">
            <v>2024257770005</v>
          </cell>
          <cell r="C9" t="str">
            <v>POR EL SUPATÁ SOÑADO AVANZAMOS JUNTOS EN LA LÍNEA ESTRATÉGICA SOCIAL</v>
          </cell>
          <cell r="D9" t="str">
            <v>EDUCACION</v>
          </cell>
          <cell r="E9" t="str">
            <v>Realizar un (1) convenio anual con el Servicio Nacional de Aprendizaje –SENA-, para la implementación del Programa de Jóvenes Rurales (SENA Emprende Rural)</v>
          </cell>
        </row>
        <row r="10">
          <cell r="A10" t="str">
            <v>META-009</v>
          </cell>
          <cell r="B10" t="str">
            <v>2024257770005</v>
          </cell>
          <cell r="C10" t="str">
            <v>POR EL SUPATÁ SOÑADO AVANZAMOS JUNTOS EN LA LÍNEA ESTRATÉGICA SOCIAL</v>
          </cell>
          <cell r="D10" t="str">
            <v>EDUCACION</v>
          </cell>
          <cell r="E10" t="str">
            <v>Desarrollo de programa de mejoramiento de la calidad educativa PROMCE en minimo dos de sus componentes</v>
          </cell>
        </row>
        <row r="11">
          <cell r="A11" t="str">
            <v>META-010</v>
          </cell>
          <cell r="B11" t="str">
            <v>2024257770006</v>
          </cell>
          <cell r="C11" t="str">
            <v>POR EL SUPATÁ SOÑADO AVANZAMOS JUNTOS EN LA LÍNEA ESTRATÉGICA SOCIAL</v>
          </cell>
          <cell r="D11" t="str">
            <v>SALUD</v>
          </cell>
          <cell r="E11" t="str">
            <v>Aumentar al 90% la población beneficiada con la Estrategia de APS Municipal</v>
          </cell>
        </row>
        <row r="12">
          <cell r="A12" t="str">
            <v>META-011</v>
          </cell>
          <cell r="B12" t="str">
            <v>2024257770006</v>
          </cell>
          <cell r="C12" t="str">
            <v>POR EL SUPATÁ SOÑADO AVANZAMOS JUNTOS EN LA LÍNEA ESTRATÉGICA SOCIAL</v>
          </cell>
          <cell r="D12" t="str">
            <v>SALUD</v>
          </cell>
          <cell r="E12" t="str">
            <v xml:space="preserve">Implementar un plan de  acción de Participación Social en Salud  del Departamento  </v>
          </cell>
        </row>
        <row r="13">
          <cell r="A13" t="str">
            <v>META-012</v>
          </cell>
          <cell r="B13" t="str">
            <v>2024257770006</v>
          </cell>
          <cell r="C13" t="str">
            <v>POR EL SUPATÁ SOÑADO AVANZAMOS JUNTOS EN LA LÍNEA ESTRATÉGICA SOCIAL</v>
          </cell>
          <cell r="D13" t="str">
            <v>SALUD</v>
          </cell>
          <cell r="E13" t="str">
            <v>Gestionar la realizacion de jornadas de salud en la zona rural del municipio para el fortalecimiento de la atencion en el Nivel Primario, aplicacion de tamizajes y acciones de informacion, que incidan en el mantenimiento de la salud y la deteccion oportuna del riego de enfermedades en la poblacion.</v>
          </cell>
        </row>
        <row r="14">
          <cell r="A14" t="str">
            <v>META-013</v>
          </cell>
          <cell r="B14" t="str">
            <v>2024257770006</v>
          </cell>
          <cell r="C14" t="str">
            <v>POR EL SUPATÁ SOÑADO AVANZAMOS JUNTOS EN LA LÍNEA ESTRATÉGICA SOCIAL</v>
          </cell>
          <cell r="D14" t="str">
            <v>SALUD</v>
          </cell>
          <cell r="E14" t="str">
            <v>Aumentar en un 80% las actividades de educación y canalización del riesgo de enfermedades visuales, bucales y auditividas, a través de la aplicación de instrumentos de APS en las visitas de detección del riesgo en el ámbito familiar; garantizando la atención de la población en el marco de la ruta de promoción y mantenimiento de la salud.</v>
          </cell>
        </row>
        <row r="15">
          <cell r="A15" t="str">
            <v>META-014</v>
          </cell>
          <cell r="B15" t="str">
            <v>2024257770006</v>
          </cell>
          <cell r="C15" t="str">
            <v>POR EL SUPATÁ SOÑADO AVANZAMOS JUNTOS EN LA LÍNEA ESTRATÉGICA SOCIAL</v>
          </cell>
          <cell r="D15" t="str">
            <v>SALUD</v>
          </cell>
          <cell r="E15" t="str">
            <v>Incrementar en un 10% la identificación de personas con riesgo de enfermedad cardiovascular, crónica, nutricional y no transmisibles, a fin  de aumentar la cobertura y atención oportuna.</v>
          </cell>
        </row>
        <row r="16">
          <cell r="A16" t="str">
            <v>META-015</v>
          </cell>
          <cell r="B16" t="str">
            <v>2024257770006</v>
          </cell>
          <cell r="C16" t="str">
            <v>POR EL SUPATÁ SOÑADO AVANZAMOS JUNTOS EN LA LÍNEA ESTRATÉGICA SOCIAL</v>
          </cell>
          <cell r="D16" t="str">
            <v>SALUD</v>
          </cell>
          <cell r="E16" t="str">
            <v>Construcción de 1 política pública en salud mental.</v>
          </cell>
        </row>
        <row r="17">
          <cell r="A17" t="str">
            <v>META-016</v>
          </cell>
          <cell r="B17" t="str">
            <v>2024257770006</v>
          </cell>
          <cell r="C17" t="str">
            <v>POR EL SUPATÁ SOÑADO AVANZAMOS JUNTOS EN LA LÍNEA ESTRATÉGICA SOCIAL</v>
          </cell>
          <cell r="D17" t="str">
            <v>SALUD</v>
          </cell>
          <cell r="E17" t="str">
            <v>Generar planes de prevencion para reducir la incidencia de violencia basadas en genero y hechos de violencia intrafamiliar; asi como el consumo y la oferta de sustancias psicoactivas - SPA, en el marco de la promocion de la salud mental.</v>
          </cell>
        </row>
        <row r="18">
          <cell r="A18" t="str">
            <v>META-017</v>
          </cell>
          <cell r="B18" t="str">
            <v>2024257770006</v>
          </cell>
          <cell r="C18" t="str">
            <v>POR EL SUPATÁ SOÑADO AVANZAMOS JUNTOS EN LA LÍNEA ESTRATÉGICA SOCIAL</v>
          </cell>
          <cell r="D18" t="str">
            <v>SALUD</v>
          </cell>
          <cell r="E18" t="str">
            <v>Mantener la mortalidad evitable en cero para poblacion infantil y las maternas del municipio de Supata, a traves del seguimiento al 100% de menores de 5 años y gestantes con alto riesgo por malnutricion y otras condiciones.</v>
          </cell>
        </row>
        <row r="19">
          <cell r="A19" t="str">
            <v>META-018</v>
          </cell>
          <cell r="B19" t="str">
            <v>2024257770006</v>
          </cell>
          <cell r="C19" t="str">
            <v>POR EL SUPATÁ SOÑADO AVANZAMOS JUNTOS EN LA LÍNEA ESTRATÉGICA SOCIAL</v>
          </cell>
          <cell r="D19" t="str">
            <v>SALUD</v>
          </cell>
          <cell r="E19" t="str">
            <v>Adoptar en un 90% la Política Pública Departamental de Seguridad Alimentaria y Nutricional</v>
          </cell>
        </row>
        <row r="20">
          <cell r="A20" t="str">
            <v>META-019</v>
          </cell>
          <cell r="B20" t="str">
            <v>2024257770006</v>
          </cell>
          <cell r="C20" t="str">
            <v>POR EL SUPATÁ SOÑADO AVANZAMOS JUNTOS EN LA LÍNEA ESTRATÉGICA SOCIAL</v>
          </cell>
          <cell r="D20" t="str">
            <v>SALUD</v>
          </cell>
          <cell r="E20" t="str">
            <v xml:space="preserve">Promover que el  95% de las mujeres gestantes del municipio tengan  4 o más controles prenatales, en el marco de la Ruta de Atención Integral Materno Perinatal </v>
          </cell>
        </row>
        <row r="21">
          <cell r="A21" t="str">
            <v>META-020</v>
          </cell>
          <cell r="B21" t="str">
            <v>2024257770006</v>
          </cell>
          <cell r="C21" t="str">
            <v>POR EL SUPATÁ SOÑADO AVANZAMOS JUNTOS EN LA LÍNEA ESTRATÉGICA SOCIAL</v>
          </cell>
          <cell r="D21" t="str">
            <v>SALUD</v>
          </cell>
          <cell r="E21" t="str">
            <v>Implementar y adoptar al 100% la ruta de atencion integral para victimas de violencias de genero.</v>
          </cell>
        </row>
        <row r="22">
          <cell r="A22" t="str">
            <v>META-021</v>
          </cell>
          <cell r="B22" t="str">
            <v>2024257770006</v>
          </cell>
          <cell r="C22" t="str">
            <v>POR EL SUPATÁ SOÑADO AVANZAMOS JUNTOS EN LA LÍNEA ESTRATÉGICA SOCIAL</v>
          </cell>
          <cell r="D22" t="str">
            <v>SALUD</v>
          </cell>
          <cell r="E22" t="str">
            <v xml:space="preserve">Alcanzar  al 80%  de las familias con estrategias de prevención y cuidado adecuado de enfermedades transmitidas por vía aérea o de contacto directo (IRA, TUBERCULOSIS; HANSEN, COVID 19) desde un enfoque comunitario. </v>
          </cell>
        </row>
        <row r="23">
          <cell r="A23" t="str">
            <v>META-022</v>
          </cell>
          <cell r="B23" t="str">
            <v>2024257770006</v>
          </cell>
          <cell r="C23" t="str">
            <v>POR EL SUPATÁ SOÑADO AVANZAMOS JUNTOS EN LA LÍNEA ESTRATÉGICA SOCIAL</v>
          </cell>
          <cell r="D23" t="str">
            <v>SALUD</v>
          </cell>
          <cell r="E23" t="str">
            <v xml:space="preserve">realizar 4 Jornadas anuales de vacunación extramurales que nos permitan llegar a toda la población del territorio y así aumentar cobertura de vacunación. </v>
          </cell>
        </row>
        <row r="24">
          <cell r="A24" t="str">
            <v>META-023</v>
          </cell>
          <cell r="B24" t="str">
            <v>2024257770006</v>
          </cell>
          <cell r="C24" t="str">
            <v>POR EL SUPATÁ SOÑADO AVANZAMOS JUNTOS EN LA LÍNEA ESTRATÉGICA SOCIAL</v>
          </cell>
          <cell r="D24" t="str">
            <v>SALUD</v>
          </cell>
          <cell r="E24" t="str">
            <v xml:space="preserve">Generar estrategias para la promoción de los Estilos, modos y condiciones saludables en el entorno laboral </v>
          </cell>
        </row>
        <row r="25">
          <cell r="A25" t="str">
            <v>META-024</v>
          </cell>
          <cell r="B25" t="str">
            <v>2024257770006</v>
          </cell>
          <cell r="C25" t="str">
            <v>POR EL SUPATÁ SOÑADO AVANZAMOS JUNTOS EN LA LÍNEA ESTRATÉGICA SOCIAL</v>
          </cell>
          <cell r="D25" t="str">
            <v>SALUD</v>
          </cell>
          <cell r="E25" t="str">
            <v xml:space="preserve">Implementar en un 100% la estrategia AIEPI, para el desarrollo integral de los niños y niñas del municipio. </v>
          </cell>
        </row>
        <row r="26">
          <cell r="A26" t="str">
            <v>META-025</v>
          </cell>
          <cell r="B26" t="str">
            <v>2024257770006</v>
          </cell>
          <cell r="C26" t="str">
            <v>POR EL SUPATÁ SOÑADO AVANZAMOS JUNTOS EN LA LÍNEA ESTRATÉGICA SOCIAL</v>
          </cell>
          <cell r="D26" t="str">
            <v>SALUD</v>
          </cell>
          <cell r="E26" t="str">
            <v>Adoptar y  adaptar en un 100%  la política pública desdelas acciones  SALUD e envejecimiento y vejez  departamental conforme a los lineamientos y desarrollos técnicos definidos por el Ministerio de Salud y Protección Social.</v>
          </cell>
        </row>
        <row r="27">
          <cell r="A27" t="str">
            <v>META-026</v>
          </cell>
          <cell r="B27" t="str">
            <v>2024257770006</v>
          </cell>
          <cell r="C27" t="str">
            <v>POR EL SUPATÁ SOÑADO AVANZAMOS JUNTOS EN LA LÍNEA ESTRATÉGICA SOCIAL</v>
          </cell>
          <cell r="D27" t="str">
            <v>SALUD</v>
          </cell>
          <cell r="E27" t="str">
            <v xml:space="preserve">Implementar las acciones correspondientes a la garantia de acceso salud descritas en la  Política Pública Municipal de Discapacidad  de los territorios rurales,  rurales dispersos y urbanos del municipio </v>
          </cell>
        </row>
        <row r="28">
          <cell r="A28" t="str">
            <v>META-027</v>
          </cell>
          <cell r="B28" t="str">
            <v>2024257770006</v>
          </cell>
          <cell r="C28" t="str">
            <v>POR EL SUPATÁ SOÑADO AVANZAMOS JUNTOS EN LA LÍNEA ESTRATÉGICA SOCIAL</v>
          </cell>
          <cell r="D28" t="str">
            <v>SALUD</v>
          </cell>
          <cell r="E28" t="str">
            <v>Garantizar el desarrollo en un  100% de los  Sistemas de  información y vigilancia epidemiológica del municipio.</v>
          </cell>
        </row>
        <row r="29">
          <cell r="A29" t="str">
            <v>META-028</v>
          </cell>
          <cell r="B29" t="str">
            <v>2024257770006</v>
          </cell>
          <cell r="C29" t="str">
            <v>POR EL SUPATÁ SOÑADO AVANZAMOS JUNTOS EN LA LÍNEA ESTRATÉGICA SOCIAL</v>
          </cell>
          <cell r="D29" t="str">
            <v>SALUD</v>
          </cell>
          <cell r="E29" t="str">
            <v>Fortalecer el programa de seguridad de riesgos laborales y salud en el trabajo</v>
          </cell>
        </row>
        <row r="30">
          <cell r="A30" t="str">
            <v>META-029</v>
          </cell>
          <cell r="B30" t="str">
            <v>2024257770007</v>
          </cell>
          <cell r="C30" t="str">
            <v>POR EL SUPATÁ SOÑADO AVANZAMOS JUNTOS EN LA LÍNEA ESTRATÉGICA SOCIAL</v>
          </cell>
          <cell r="D30" t="str">
            <v>SALUD</v>
          </cell>
          <cell r="E30" t="str">
            <v>Gestionar un centro de atención primario en salud rural</v>
          </cell>
        </row>
        <row r="31">
          <cell r="A31" t="str">
            <v>META-030</v>
          </cell>
          <cell r="B31" t="str">
            <v>2024257770007</v>
          </cell>
          <cell r="C31" t="str">
            <v>POR EL SUPATÁ SOÑADO AVANZAMOS JUNTOS EN LA LÍNEA ESTRATÉGICA SOCIAL</v>
          </cell>
          <cell r="D31" t="str">
            <v>SALUD</v>
          </cell>
          <cell r="E31" t="str">
            <v>Garantizar la operatividad de los programas en salud</v>
          </cell>
        </row>
        <row r="32">
          <cell r="A32" t="str">
            <v>META-031</v>
          </cell>
          <cell r="B32" t="str">
            <v>2024257770007</v>
          </cell>
          <cell r="C32" t="str">
            <v>POR EL SUPATÁ SOÑADO AVANZAMOS JUNTOS EN LA LÍNEA ESTRATÉGICA SOCIAL</v>
          </cell>
          <cell r="D32" t="str">
            <v>SALUD</v>
          </cell>
          <cell r="E32" t="str">
            <v>Garantizar el acceso a la salud para población vinculada al régimen  Subsidiado</v>
          </cell>
        </row>
        <row r="33">
          <cell r="A33" t="str">
            <v>META-032</v>
          </cell>
          <cell r="B33" t="str">
            <v>202500000008110</v>
          </cell>
          <cell r="C33" t="str">
            <v>POR EL SUPATÁ SOÑADO AVANZAMOS JUNTOS EN LA LÍNEA ESTRATÉGICA SOCIAL</v>
          </cell>
          <cell r="D33" t="str">
            <v>SALUD</v>
          </cell>
          <cell r="E33" t="str">
            <v xml:space="preserve">Garantizar  el seguimiento al 100% de las EPS e IPS Presentes en el municipio, para la garantía de la calidad de los servicios de salud </v>
          </cell>
        </row>
        <row r="34">
          <cell r="A34" t="str">
            <v>META-033</v>
          </cell>
          <cell r="B34" t="str">
            <v>2024257770009</v>
          </cell>
          <cell r="C34" t="str">
            <v>POR EL SUPATÁ SOÑADO AVANZAMOS JUNTOS EN LA LÍNEA ESTRATÉGICA SOCIAL</v>
          </cell>
          <cell r="D34" t="str">
            <v>CULTURA</v>
          </cell>
          <cell r="E34" t="str">
            <v>Mantener las 3 escuelas de formacion cultural durante el cuatrenio</v>
          </cell>
        </row>
        <row r="35">
          <cell r="A35" t="str">
            <v>META-034</v>
          </cell>
          <cell r="B35" t="str">
            <v>2024257770009</v>
          </cell>
          <cell r="C35" t="str">
            <v>POR EL SUPATÁ SOÑADO AVANZAMOS JUNTOS EN LA LÍNEA ESTRATÉGICA SOCIAL</v>
          </cell>
          <cell r="D35" t="str">
            <v>CULTURA</v>
          </cell>
          <cell r="E35" t="str">
            <v>Realizar (4) Dotaciones a las escuelas de formación cultural</v>
          </cell>
        </row>
        <row r="36">
          <cell r="A36" t="str">
            <v>META-035</v>
          </cell>
          <cell r="B36" t="str">
            <v>2024257770009</v>
          </cell>
          <cell r="C36" t="str">
            <v>POR EL SUPATÁ SOÑADO AVANZAMOS JUNTOS EN LA LÍNEA ESTRATÉGICA SOCIAL</v>
          </cell>
          <cell r="D36" t="str">
            <v>CULTURA</v>
          </cell>
          <cell r="E36" t="str">
            <v>Organizar 4 eventos artísticos y culturales anualmente</v>
          </cell>
        </row>
        <row r="37">
          <cell r="A37" t="str">
            <v>META-036</v>
          </cell>
          <cell r="B37" t="str">
            <v>2024257770009</v>
          </cell>
          <cell r="C37" t="str">
            <v>POR EL SUPATÁ SOÑADO AVANZAMOS JUNTOS EN LA LÍNEA ESTRATÉGICA SOCIAL</v>
          </cell>
          <cell r="D37" t="str">
            <v>CULTURA</v>
          </cell>
          <cell r="E37" t="str">
            <v>Realizar apoyo y/o Dotación en la ludoteca municipal en materiales lúdico-pedagógicos.</v>
          </cell>
        </row>
        <row r="38">
          <cell r="A38" t="str">
            <v>META-037</v>
          </cell>
          <cell r="B38" t="str">
            <v>2024257770009</v>
          </cell>
          <cell r="C38" t="str">
            <v>POR EL SUPATÁ SOÑADO AVANZAMOS JUNTOS EN LA LÍNEA ESTRATÉGICA SOCIAL</v>
          </cell>
          <cell r="D38" t="str">
            <v>CULTURA</v>
          </cell>
          <cell r="E38" t="str">
            <v>Realizar mantenimientos y/o adecuaciones de los escenarios culturales del municipio.</v>
          </cell>
        </row>
        <row r="39">
          <cell r="A39" t="str">
            <v>META-038</v>
          </cell>
          <cell r="B39" t="str">
            <v>2024257770009</v>
          </cell>
          <cell r="C39" t="str">
            <v>POR EL SUPATÁ SOÑADO AVANZAMOS JUNTOS EN LA LÍNEA ESTRATÉGICA SOCIAL</v>
          </cell>
          <cell r="D39" t="str">
            <v>CULTURA</v>
          </cell>
          <cell r="E39" t="str">
            <v>Garantizar el correcto funcionamiento anual de la biblioteca municipal</v>
          </cell>
        </row>
        <row r="40">
          <cell r="A40" t="str">
            <v>META-039</v>
          </cell>
          <cell r="B40" t="str">
            <v>2024257770009</v>
          </cell>
          <cell r="C40" t="str">
            <v>POR EL SUPATÁ SOÑADO AVANZAMOS JUNTOS EN LA LÍNEA ESTRATÉGICA SOCIAL</v>
          </cell>
          <cell r="D40" t="str">
            <v>CULTURA</v>
          </cell>
          <cell r="E40" t="str">
            <v xml:space="preserve">Reconocimiento y dignificación de los gestores culturales y artistas locales. 
</v>
          </cell>
        </row>
        <row r="41">
          <cell r="A41" t="str">
            <v>META-040</v>
          </cell>
          <cell r="B41" t="str">
            <v>2024257770010</v>
          </cell>
          <cell r="C41" t="str">
            <v>POR EL SUPATÁ SOÑADO AVANZAMOS JUNTOS EN LA LÍNEA ESTRATÉGICA SOCIAL</v>
          </cell>
          <cell r="D41" t="str">
            <v>RECREACION Y DEPROTE</v>
          </cell>
          <cell r="E41" t="str">
            <v>Mantener las 4 escuelas de formacion deportiva y recreativa  en el municipio</v>
          </cell>
        </row>
        <row r="42">
          <cell r="A42" t="str">
            <v>META-041</v>
          </cell>
          <cell r="B42" t="str">
            <v>2024257770010</v>
          </cell>
          <cell r="C42" t="str">
            <v>POR EL SUPATÁ SOÑADO AVANZAMOS JUNTOS EN LA LÍNEA ESTRATÉGICA SOCIAL</v>
          </cell>
          <cell r="D42" t="str">
            <v>RECREACION Y DEPROTE</v>
          </cell>
          <cell r="E42" t="str">
            <v>Implementar  una (1) escuela de formación deportiva en la zona rural.</v>
          </cell>
        </row>
        <row r="43">
          <cell r="A43" t="str">
            <v>META-042</v>
          </cell>
          <cell r="B43" t="str">
            <v>2024257770010</v>
          </cell>
          <cell r="C43" t="str">
            <v>POR EL SUPATÁ SOÑADO AVANZAMOS JUNTOS EN LA LÍNEA ESTRATÉGICA SOCIAL</v>
          </cell>
          <cell r="D43" t="str">
            <v>RECREACION Y DEPROTE</v>
          </cell>
          <cell r="E43" t="str">
            <v>Mejorar y mantener  3 escenarios recreo-deportivos  del municipio, durante el periodo de gobierno.</v>
          </cell>
        </row>
        <row r="44">
          <cell r="A44" t="str">
            <v>META-043</v>
          </cell>
          <cell r="B44" t="str">
            <v>2024257770010</v>
          </cell>
          <cell r="C44" t="str">
            <v>POR EL SUPATÁ SOÑADO AVANZAMOS JUNTOS EN LA LÍNEA ESTRATÉGICA SOCIAL</v>
          </cell>
          <cell r="D44" t="str">
            <v>RECREACION Y DEPROTE</v>
          </cell>
          <cell r="E44" t="str">
            <v>Realizar 7 eventos deportivos y/o recreativos en el municipio</v>
          </cell>
        </row>
        <row r="45">
          <cell r="A45" t="str">
            <v>META-044</v>
          </cell>
          <cell r="B45" t="str">
            <v>2024257770010</v>
          </cell>
          <cell r="C45" t="str">
            <v>POR EL SUPATÁ SOÑADO AVANZAMOS JUNTOS EN LA LÍNEA ESTRATÉGICA SOCIAL</v>
          </cell>
          <cell r="D45" t="str">
            <v>RECREACION Y DEPROTE</v>
          </cell>
          <cell r="E45" t="str">
            <v>Servicio de organización de eventos recreativos comunitarios</v>
          </cell>
        </row>
        <row r="46">
          <cell r="A46" t="str">
            <v>META-045</v>
          </cell>
          <cell r="B46" t="str">
            <v>2024257770010</v>
          </cell>
          <cell r="C46" t="str">
            <v>POR EL SUPATÁ SOÑADO AVANZAMOS JUNTOS EN LA LÍNEA ESTRATÉGICA SOCIAL</v>
          </cell>
          <cell r="D46" t="str">
            <v>RECREACION Y DEPROTE</v>
          </cell>
          <cell r="E46" t="str">
            <v>Realizar dotacion de implementos deportivos para la formacion deportiva y recreativa</v>
          </cell>
        </row>
        <row r="47">
          <cell r="A47" t="str">
            <v>META-046</v>
          </cell>
          <cell r="B47" t="str">
            <v>2024257770010</v>
          </cell>
          <cell r="C47" t="str">
            <v>POR EL SUPATÁ SOÑADO AVANZAMOS JUNTOS EN LA LÍNEA ESTRATÉGICA SOCIAL</v>
          </cell>
          <cell r="D47" t="str">
            <v>RECREACION Y DEPROTE</v>
          </cell>
          <cell r="E47" t="str">
            <v>Realizar 2 estudios y diseños para infraestructura deportiva y recreativa en el municipio</v>
          </cell>
        </row>
        <row r="48">
          <cell r="A48" t="str">
            <v>META-047</v>
          </cell>
          <cell r="B48" t="str">
            <v>2024257770011</v>
          </cell>
          <cell r="C48" t="str">
            <v>POR EL SUPATÁ SOÑADO AVANZAMOS JUNTOS EN LA LÍNEA ESTRATÉGICA SOCIAL</v>
          </cell>
          <cell r="D48" t="str">
            <v>POBLACIÓN VULNERABLE - VCA</v>
          </cell>
          <cell r="E48" t="str">
            <v xml:space="preserve">Realizar anualmente los tramites pertinentes para ayuda humanitaria </v>
          </cell>
        </row>
        <row r="49">
          <cell r="A49" t="str">
            <v>META-048</v>
          </cell>
          <cell r="B49" t="str">
            <v>2024257770011</v>
          </cell>
          <cell r="C49" t="str">
            <v>POR EL SUPATÁ SOÑADO AVANZAMOS JUNTOS EN LA LÍNEA ESTRATÉGICA SOCIAL</v>
          </cell>
          <cell r="D49" t="str">
            <v>POBLACIÓN VULNERABLE - VCA</v>
          </cell>
          <cell r="E49" t="str">
            <v xml:space="preserve">Garantizar 4 mesas  tecnicas municipales de participacion de victimas </v>
          </cell>
        </row>
        <row r="50">
          <cell r="A50" t="str">
            <v>META-049</v>
          </cell>
          <cell r="B50" t="str">
            <v>2024257770011</v>
          </cell>
          <cell r="C50" t="str">
            <v>POR EL SUPATÁ SOÑADO AVANZAMOS JUNTOS EN LA LÍNEA ESTRATÉGICA SOCIAL</v>
          </cell>
          <cell r="D50" t="str">
            <v>POBLACIÓN VULNERABLE - VCA</v>
          </cell>
          <cell r="E50" t="str">
            <v xml:space="preserve">Orotgar 1 Auxilios funerarios a población víctima </v>
          </cell>
        </row>
        <row r="51">
          <cell r="A51" t="str">
            <v>META-050</v>
          </cell>
          <cell r="B51" t="str">
            <v>2024257770011</v>
          </cell>
          <cell r="C51" t="str">
            <v>POR EL SUPATÁ SOÑADO AVANZAMOS JUNTOS EN LA LÍNEA ESTRATÉGICA SOCIAL</v>
          </cell>
          <cell r="D51" t="str">
            <v>POBLACIÓN VULNERABLE - VCA</v>
          </cell>
          <cell r="E51" t="str">
            <v>Elaborar la politica publica de victimas local ($0)</v>
          </cell>
        </row>
        <row r="52">
          <cell r="A52" t="str">
            <v>META-051</v>
          </cell>
          <cell r="B52" t="str">
            <v>2024257770011</v>
          </cell>
          <cell r="C52" t="str">
            <v>POR EL SUPATÁ SOÑADO AVANZAMOS JUNTOS EN LA LÍNEA ESTRATÉGICA SOCIAL</v>
          </cell>
          <cell r="D52" t="str">
            <v>POBLACIÓN VULNERABLE - VCA</v>
          </cell>
          <cell r="E52" t="str">
            <v xml:space="preserve">Realizar 4 proyectos productivos para la generación de ingresos victima del conflicto armado </v>
          </cell>
        </row>
        <row r="53">
          <cell r="A53" t="str">
            <v>META-052</v>
          </cell>
          <cell r="B53" t="str">
            <v>2024257770011</v>
          </cell>
          <cell r="C53" t="str">
            <v>POR EL SUPATÁ SOÑADO AVANZAMOS JUNTOS EN LA LÍNEA ESTRATÉGICA SOCIAL</v>
          </cell>
          <cell r="D53" t="str">
            <v>POBLACIÓN VULNERABLE - VCA</v>
          </cell>
          <cell r="E53" t="str">
            <v>Realizar 2 jornadas de caracterizacion municipal de victimas $0</v>
          </cell>
        </row>
        <row r="54">
          <cell r="A54" t="str">
            <v>META-053</v>
          </cell>
          <cell r="B54" t="str">
            <v>2024257770011</v>
          </cell>
          <cell r="C54" t="str">
            <v>POR EL SUPATÁ SOÑADO AVANZAMOS JUNTOS EN LA LÍNEA ESTRATÉGICA SOCIAL</v>
          </cell>
          <cell r="D54" t="str">
            <v>POBLACIÓN VULNERABLE - VCA</v>
          </cell>
          <cell r="E54" t="str">
            <v xml:space="preserve">Conmemoracion del dia nacional de la memoria y la solidaridad con las victimas </v>
          </cell>
        </row>
        <row r="55">
          <cell r="A55" t="str">
            <v>META-054</v>
          </cell>
          <cell r="B55" t="str">
            <v>2024257770012</v>
          </cell>
          <cell r="C55" t="str">
            <v>POR EL SUPATÁ SOÑADO AVANZAMOS JUNTOS EN LA LÍNEA ESTRATÉGICA SOCIAL</v>
          </cell>
          <cell r="D55" t="str">
            <v>POBLACIÓN VULNERABLE - CAPITULO PRIMERA INFANCIA, INFANCIA, ADOLESCENCIA Y JUVENTUD</v>
          </cell>
          <cell r="E55" t="str">
            <v>Realizar cuatro (4) campañas de educación sexual y derechos reproductivos a los adolescentes y jovenes del municipio</v>
          </cell>
        </row>
        <row r="56">
          <cell r="A56" t="str">
            <v>META-055</v>
          </cell>
          <cell r="B56" t="str">
            <v>2024257770012</v>
          </cell>
          <cell r="C56" t="str">
            <v>POR EL SUPATÁ SOÑADO AVANZAMOS JUNTOS EN LA LÍNEA ESTRATÉGICA SOCIAL</v>
          </cell>
          <cell r="D56" t="str">
            <v>POBLACIÓN VULNERABLE - CAPITULO PRIMERA INFANCIA, INFANCIA, ADOLESCENCIA Y JUVENTUD</v>
          </cell>
          <cell r="E56" t="str">
            <v>Realizar cuatro (4) campañas de prevencion de embarazado en mujeres adolescentes</v>
          </cell>
        </row>
        <row r="57">
          <cell r="A57" t="str">
            <v>META-056</v>
          </cell>
          <cell r="B57" t="str">
            <v>2024257770012</v>
          </cell>
          <cell r="C57" t="str">
            <v>POR EL SUPATÁ SOÑADO AVANZAMOS JUNTOS EN LA LÍNEA ESTRATÉGICA SOCIAL</v>
          </cell>
          <cell r="D57" t="str">
            <v>POBLACIÓN VULNERABLE - CAPITULO PRIMERA INFANCIA, INFANCIA, ADOLESCENCIA Y JUVENTUD</v>
          </cell>
        </row>
        <row r="58">
          <cell r="A58" t="str">
            <v>META-057</v>
          </cell>
          <cell r="B58" t="str">
            <v>2024257770012</v>
          </cell>
          <cell r="C58" t="str">
            <v>POR EL SUPATÁ SOÑADO AVANZAMOS JUNTOS EN LA LÍNEA ESTRATÉGICA SOCIAL</v>
          </cell>
          <cell r="D58" t="str">
            <v>POBLACIÓN VULNERABLE - CAPITULO PRIMERA INFANCIA, INFANCIA, ADOLESCENCIA Y JUVENTUD</v>
          </cell>
          <cell r="E58" t="str">
            <v>Realizar cuatro (4) talleres en reconocimiento de los derechos de niños, niñas y adolescentes</v>
          </cell>
        </row>
        <row r="59">
          <cell r="A59" t="str">
            <v>META-058</v>
          </cell>
          <cell r="B59" t="str">
            <v>2024257770012</v>
          </cell>
          <cell r="C59" t="str">
            <v>POR EL SUPATÁ SOÑADO AVANZAMOS JUNTOS EN LA LÍNEA ESTRATÉGICA SOCIAL</v>
          </cell>
          <cell r="D59" t="str">
            <v>POBLACIÓN VULNERABLE - CAPITULO PRIMERA INFANCIA, INFANCIA, ADOLESCENCIA Y JUVENTUD</v>
          </cell>
          <cell r="E59" t="str">
            <v>Realizar cuatro (4) campañas para la proteccioón y prevención del maltrato infantil</v>
          </cell>
        </row>
        <row r="60">
          <cell r="A60" t="str">
            <v>META-059</v>
          </cell>
          <cell r="B60" t="str">
            <v>2024257770012</v>
          </cell>
          <cell r="C60" t="str">
            <v>POR EL SUPATÁ SOÑADO AVANZAMOS JUNTOS EN LA LÍNEA ESTRATÉGICA SOCIAL</v>
          </cell>
          <cell r="D60" t="str">
            <v>POBLACIÓN VULNERABLE - CAPITULO PRIMERA INFANCIA, INFANCIA, ADOLESCENCIA Y JUVENTUD</v>
          </cell>
          <cell r="E60" t="str">
            <v>Realizar dotacion en material pedagógico para los programas de atención de primera infancia</v>
          </cell>
        </row>
        <row r="61">
          <cell r="A61" t="str">
            <v>META-060</v>
          </cell>
          <cell r="B61" t="str">
            <v>2024257770012</v>
          </cell>
          <cell r="C61" t="str">
            <v>POR EL SUPATÁ SOÑADO AVANZAMOS JUNTOS EN LA LÍNEA ESTRATÉGICA SOCIAL</v>
          </cell>
          <cell r="D61" t="str">
            <v>POBLACIÓN VULNERABLE - CAPITULO PRIMERA INFANCIA, INFANCIA, ADOLESCENCIA Y JUVENTUD</v>
          </cell>
          <cell r="E61" t="str">
            <v>Realizar cuatro (4) campañas para el fortalecimiento familiar en el municipio</v>
          </cell>
        </row>
        <row r="62">
          <cell r="A62" t="str">
            <v>META-061</v>
          </cell>
          <cell r="B62" t="str">
            <v>2024257770012</v>
          </cell>
          <cell r="C62" t="str">
            <v>POR EL SUPATÁ SOÑADO AVANZAMOS JUNTOS EN LA LÍNEA ESTRATÉGICA SOCIAL</v>
          </cell>
          <cell r="D62" t="str">
            <v>POBLACIÓN VULNERABLE - CAPITULO PRIMERA INFANCIA, INFANCIA, ADOLESCENCIA Y JUVENTUD</v>
          </cell>
          <cell r="E62" t="str">
            <v>Realizar las acciones necesarias para el aumento de 1 unidad o cupos en la atención del programa “Educación Rural Dispersa”. (VERIFICAR SI ES META DE PRIMERA INFANCIA)</v>
          </cell>
        </row>
        <row r="63">
          <cell r="A63" t="str">
            <v>META-062</v>
          </cell>
          <cell r="B63" t="str">
            <v>2024257770012</v>
          </cell>
          <cell r="C63" t="str">
            <v>POR EL SUPATÁ SOÑADO AVANZAMOS JUNTOS EN LA LÍNEA ESTRATÉGICA SOCIAL</v>
          </cell>
          <cell r="D63" t="str">
            <v>POBLACIÓN VULNERABLE - CAPITULO PRIMERA INFANCIA, INFANCIA, ADOLESCENCIA Y JUVENTUD</v>
          </cell>
          <cell r="E63" t="str">
            <v>Realizar campañas anuales para la prevención de la conducta suicida, en niños, niñas, adolescentes y jovenes</v>
          </cell>
        </row>
        <row r="64">
          <cell r="A64" t="str">
            <v>META-063</v>
          </cell>
          <cell r="B64" t="str">
            <v>2024257770012</v>
          </cell>
          <cell r="C64" t="str">
            <v>POR EL SUPATÁ SOÑADO AVANZAMOS JUNTOS EN LA LÍNEA ESTRATÉGICA SOCIAL</v>
          </cell>
          <cell r="D64" t="str">
            <v>POBLACIÓN VULNERABLE - CAPITULO PRIMERA INFANCIA, INFANCIA, ADOLESCENCIA Y JUVENTUD</v>
          </cell>
          <cell r="E64" t="str">
            <v>Mantener a 100 niños de 0 a 5 años en establecimientos de educación inicial</v>
          </cell>
        </row>
        <row r="65">
          <cell r="A65" t="str">
            <v>META-064</v>
          </cell>
          <cell r="B65" t="str">
            <v>2024257770012</v>
          </cell>
          <cell r="C65" t="str">
            <v>POR EL SUPATÁ SOÑADO AVANZAMOS JUNTOS EN LA LÍNEA ESTRATÉGICA SOCIAL</v>
          </cell>
          <cell r="D65" t="str">
            <v>POBLACIÓN VULNERABLE - CAPITULO PRIMERA INFANCIA, INFANCIA, ADOLESCENCIA Y JUVENTUD</v>
          </cell>
          <cell r="E65" t="str">
            <v>Implementar un programa de apoyo integral a la juventud</v>
          </cell>
        </row>
        <row r="66">
          <cell r="A66" t="str">
            <v>META-065</v>
          </cell>
          <cell r="B66" t="str">
            <v>2024257770013</v>
          </cell>
          <cell r="C66" t="str">
            <v>POR EL SUPATÁ SOÑADO AVANZAMOS JUNTOS EN LA LÍNEA ESTRATÉGICA SOCIAL</v>
          </cell>
          <cell r="D66" t="str">
            <v>POBLACIÓN VULNERABLE- CAPITULO MUJER Y GENERO</v>
          </cell>
          <cell r="E66" t="str">
            <v>Construcción de (1)  centro de innovación empresarial casa social de la mujer.</v>
          </cell>
        </row>
        <row r="67">
          <cell r="A67" t="str">
            <v>META-066</v>
          </cell>
          <cell r="B67" t="str">
            <v>2024257770013</v>
          </cell>
          <cell r="C67" t="str">
            <v>POR EL SUPATÁ SOÑADO AVANZAMOS JUNTOS EN LA LÍNEA ESTRATÉGICA SOCIAL</v>
          </cell>
          <cell r="D67" t="str">
            <v>POBLACIÓN VULNERABLE- CAPITULO MUJER Y GENERO</v>
          </cell>
          <cell r="E67" t="str">
            <v>Realizar anualmente mecanismos para la articulacion, actualización, reactivación y seguimiento de las actividades del Consejo Consultivo de Mujeres, como instancia de representación de sus necesidades e interés</v>
          </cell>
        </row>
        <row r="68">
          <cell r="A68" t="str">
            <v>META-067</v>
          </cell>
          <cell r="B68" t="str">
            <v>2024257770014</v>
          </cell>
          <cell r="C68" t="str">
            <v>POR EL SUPATÁ SOÑADO AVANZAMOS JUNTOS EN LA LÍNEA ESTRATÉGICA SOCIAL</v>
          </cell>
          <cell r="D68" t="str">
            <v>POBLACIÓN VULNERABLE - CAPITULO ADULTO MAYOR</v>
          </cell>
          <cell r="E68" t="str">
            <v>Mentener el Programa Centro Día Urbano y rural para el beneficio</v>
          </cell>
        </row>
        <row r="69">
          <cell r="A69" t="str">
            <v>META-068</v>
          </cell>
          <cell r="B69" t="str">
            <v>2024257770014</v>
          </cell>
          <cell r="C69" t="str">
            <v>POR EL SUPATÁ SOÑADO AVANZAMOS JUNTOS EN LA LÍNEA ESTRATÉGICA SOCIAL</v>
          </cell>
          <cell r="D69" t="str">
            <v>POBLACIÓN VULNERABLE - CAPITULO ADULTO MAYOR</v>
          </cell>
          <cell r="E69" t="str">
            <v>Garantizar la atención integral e institucional de adultos mayores con vulnerabilidad social en el centro de bienestar del adulto mayor "Maria Auxiliadora".</v>
          </cell>
        </row>
        <row r="70">
          <cell r="A70" t="str">
            <v>META-069</v>
          </cell>
          <cell r="B70" t="str">
            <v>2024257770014</v>
          </cell>
          <cell r="C70" t="str">
            <v>POR EL SUPATÁ SOÑADO AVANZAMOS JUNTOS EN LA LÍNEA ESTRATÉGICA SOCIAL</v>
          </cell>
          <cell r="D70" t="str">
            <v>POBLACIÓN VULNERABLE - CAPITULO ADULTO MAYOR</v>
          </cell>
          <cell r="E70" t="str">
            <v>Implementar anualmente la estrategia Rehabilitacion basada en comunidad RBC con la población Adulto Mayor</v>
          </cell>
        </row>
        <row r="71">
          <cell r="A71" t="str">
            <v>META-070</v>
          </cell>
          <cell r="B71" t="str">
            <v>2024257770014</v>
          </cell>
          <cell r="C71" t="str">
            <v>POR EL SUPATÁ SOÑADO AVANZAMOS JUNTOS EN LA LÍNEA ESTRATÉGICA SOCIAL</v>
          </cell>
          <cell r="D71" t="str">
            <v>POBLACIÓN VULNERABLE - CAPITULO ADULTO MAYOR</v>
          </cell>
          <cell r="E71" t="str">
            <v>Realizar 1 Dotación Centro día.</v>
          </cell>
        </row>
        <row r="72">
          <cell r="A72" t="str">
            <v>META-071</v>
          </cell>
          <cell r="B72" t="str">
            <v>2024257770014</v>
          </cell>
          <cell r="C72" t="str">
            <v>POR EL SUPATÁ SOÑADO AVANZAMOS JUNTOS EN LA LÍNEA ESTRATÉGICA SOCIAL</v>
          </cell>
          <cell r="D72" t="str">
            <v>POBLACIÓN VULNERABLE - CAPITULO ADULTO MAYOR</v>
          </cell>
          <cell r="E72" t="str">
            <v>Realizar 4 jornadas de certificación para acceso a subsidios de discapacidad.</v>
          </cell>
        </row>
        <row r="73">
          <cell r="A73" t="str">
            <v>META-072</v>
          </cell>
          <cell r="B73" t="str">
            <v>2024257770014</v>
          </cell>
          <cell r="C73" t="str">
            <v>POR EL SUPATÁ SOÑADO AVANZAMOS JUNTOS EN LA LÍNEA ESTRATÉGICA SOCIAL</v>
          </cell>
          <cell r="D73" t="str">
            <v>POBLACIÓN VULNERABLE - CAPITULO ADULTO MAYOR</v>
          </cell>
          <cell r="E73" t="str">
            <v xml:space="preserve">Mantener anualmente  atencion en el Centro de Vida Sensorial </v>
          </cell>
        </row>
        <row r="74">
          <cell r="A74" t="str">
            <v>META-073</v>
          </cell>
          <cell r="B74" t="str">
            <v>2024257770014</v>
          </cell>
          <cell r="C74" t="str">
            <v>POR EL SUPATÁ SOÑADO AVANZAMOS JUNTOS EN LA LÍNEA ESTRATÉGICA SOCIAL</v>
          </cell>
          <cell r="D74" t="str">
            <v>POBLACIÓN VULNERABLE - CAPITULO ADULTO MAYOR</v>
          </cell>
          <cell r="E74" t="str">
            <v>Celebrar anualmente el día Blanco</v>
          </cell>
        </row>
        <row r="75">
          <cell r="A75" t="str">
            <v>META-074</v>
          </cell>
          <cell r="B75" t="str">
            <v>2024257770014</v>
          </cell>
          <cell r="C75" t="str">
            <v>POR EL SUPATÁ SOÑADO AVANZAMOS JUNTOS EN LA LÍNEA ESTRATÉGICA SOCIAL</v>
          </cell>
          <cell r="D75" t="str">
            <v>POBLACIÓN VULNERABLE - CAPITULO ADULTO MAYOR</v>
          </cell>
          <cell r="E75" t="str">
            <v>Implementar anualmente la estrategia Rehabilitacion basada en comunidad RBC con la población con discapacidad</v>
          </cell>
        </row>
        <row r="76">
          <cell r="A76" t="str">
            <v>META-075</v>
          </cell>
          <cell r="B76" t="str">
            <v>2024257770014</v>
          </cell>
          <cell r="C76" t="str">
            <v>POR EL SUPATÁ SOÑADO AVANZAMOS JUNTOS EN LA LÍNEA ESTRATÉGICA SOCIAL</v>
          </cell>
          <cell r="D76" t="str">
            <v>POBLACIÓN VULNERABLE - CAPITULO ADULTO MAYOR</v>
          </cell>
          <cell r="E76" t="str">
            <v>Realizar 1 Actualizacion de la politica publica de discapacidad</v>
          </cell>
        </row>
        <row r="77">
          <cell r="A77" t="str">
            <v>META-076</v>
          </cell>
          <cell r="B77" t="str">
            <v>2024257770015</v>
          </cell>
          <cell r="C77" t="str">
            <v>POR EL SUPATÁ SOÑADO AVANZAMOS JUNTOS EN LA LÍNEA ESTRATÉGICA SOCIAL</v>
          </cell>
          <cell r="D77" t="str">
            <v>VIVIENDA, CIUDAD Y TERRITORIO-  POBLACIÓN EN CONDICIÓN DE DISCAPACIDAD</v>
          </cell>
          <cell r="E77" t="str">
            <v>Implementar un proyecto para la construcción de vivienda de interés social o de intéres prioritario.</v>
          </cell>
        </row>
        <row r="78">
          <cell r="A78" t="str">
            <v>META-077</v>
          </cell>
          <cell r="B78" t="str">
            <v>2024257770015</v>
          </cell>
          <cell r="C78" t="str">
            <v>POR EL SUPATÁ SOÑADO AVANZAMOS JUNTOS EN LA LÍNEA ESTRATÉGICA SOCIAL</v>
          </cell>
          <cell r="D78" t="str">
            <v>VIVIENDA, CIUDAD Y TERRITORIO-  POBLACIÓN EN CONDICIÓN DE DISCAPACIDAD</v>
          </cell>
          <cell r="E78" t="str">
            <v>Brindar anualmente un (1) apoyo juridico a la población para otorgar titulación de predios.</v>
          </cell>
        </row>
        <row r="79">
          <cell r="A79" t="str">
            <v>META-078</v>
          </cell>
          <cell r="B79" t="str">
            <v>2024257770015</v>
          </cell>
          <cell r="C79" t="str">
            <v>POR EL SUPATÁ SOÑADO AVANZAMOS JUNTOS EN LA LÍNEA ESTRATÉGICA SOCIAL</v>
          </cell>
          <cell r="D79" t="str">
            <v>VIVIENDA, CIUDAD Y TERRITORIO-  POBLACIÓN EN CONDICIÓN DE DISCAPACIDAD</v>
          </cell>
          <cell r="E79" t="str">
            <v>Beneficiar a 50 familias en condición de vulnerabilidad con el mejoramiento de unidad habitacional, pisos, cocina, baños y techos del sector rural</v>
          </cell>
        </row>
        <row r="80">
          <cell r="A80" t="str">
            <v>META-079</v>
          </cell>
          <cell r="B80" t="str">
            <v>2024257770016</v>
          </cell>
          <cell r="C80" t="str">
            <v>POR EL SUPATÁ SOÑADO AVANZAMOS JUNTOS EN LA LÍNEA ESTRATÉGICA SOCIAL</v>
          </cell>
          <cell r="D80" t="str">
            <v>VIVIENDA, CIUDAD Y TERRITORIO</v>
          </cell>
          <cell r="E80" t="str">
            <v>Fortalecer  administrativa y logística anualmente el Consejo Territorial de Planeación para su funcionamiento. (pendiente fortalecimiento institucional cambio de sector)</v>
          </cell>
        </row>
        <row r="81">
          <cell r="A81" t="str">
            <v>META-080</v>
          </cell>
          <cell r="B81" t="str">
            <v>2024257770016</v>
          </cell>
          <cell r="C81" t="str">
            <v>POR EL SUPATÁ SOÑADO AVANZAMOS JUNTOS EN LA LÍNEA ESTRATÉGICA SOCIAL</v>
          </cell>
          <cell r="D81" t="str">
            <v>VIVIENDA, CIUDAD Y TERRITORIO</v>
          </cell>
          <cell r="E81" t="str">
            <v>Adecuación y mantenimiento de la plaza de ferias municipal</v>
          </cell>
        </row>
        <row r="82">
          <cell r="A82" t="str">
            <v>META-081</v>
          </cell>
          <cell r="B82" t="str">
            <v>2024257770016</v>
          </cell>
          <cell r="C82" t="str">
            <v>POR EL SUPATÁ SOÑADO AVANZAMOS JUNTOS EN LA LÍNEA ESTRATÉGICA SOCIAL</v>
          </cell>
          <cell r="D82" t="str">
            <v>VIVIENDA, CIUDAD Y TERRITORIO</v>
          </cell>
          <cell r="E82" t="str">
            <v>Realizar 2 mantenimientos a la plaza de mercado</v>
          </cell>
        </row>
        <row r="83">
          <cell r="A83" t="str">
            <v>META-082</v>
          </cell>
          <cell r="B83" t="str">
            <v>2024257770016</v>
          </cell>
          <cell r="C83" t="str">
            <v>POR EL SUPATÁ SOÑADO AVANZAMOS JUNTOS EN LA LÍNEA ESTRATÉGICA SOCIAL</v>
          </cell>
          <cell r="D83" t="str">
            <v>VIVIENDA, CIUDAD Y TERRITORIO</v>
          </cell>
          <cell r="E83" t="str">
            <v>Implementar  el programa anual  de Banco de Materiales que une esfuerzos entre la administración municipal y la comunidad para la realización de obras necesarias y de gran impacto social en barrios y veredas.</v>
          </cell>
        </row>
        <row r="84">
          <cell r="A84" t="str">
            <v>META-083</v>
          </cell>
          <cell r="B84" t="str">
            <v>2024257770016</v>
          </cell>
          <cell r="C84" t="str">
            <v>POR EL SUPATÁ SOÑADO AVANZAMOS JUNTOS EN LA LÍNEA ESTRATÉGICA SOCIAL</v>
          </cell>
          <cell r="D84" t="str">
            <v>VIVIENDA, CIUDAD Y TERRITORIO</v>
          </cell>
          <cell r="E84" t="str">
            <v>Implementar  un programa  de mantenimiento de espacio público,  zonas verdes y  parques del municipio</v>
          </cell>
        </row>
        <row r="85">
          <cell r="A85" t="str">
            <v>META-084</v>
          </cell>
          <cell r="B85" t="str">
            <v>2024257770016</v>
          </cell>
          <cell r="C85" t="str">
            <v>POR EL SUPATÁ SOÑADO AVANZAMOS JUNTOS EN LA LÍNEA ESTRATÉGICA SOCIAL</v>
          </cell>
          <cell r="D85" t="str">
            <v>VIVIENDA, CIUDAD Y TERRITORIO</v>
          </cell>
          <cell r="E85" t="str">
            <v>Construir, mejorar y adecuar los andenes, pasamanos y escaleras en diversos sectores del casco urbano y centros poblados del municipio.</v>
          </cell>
        </row>
        <row r="86">
          <cell r="A86" t="str">
            <v>META-085</v>
          </cell>
          <cell r="B86" t="str">
            <v>2024257770016</v>
          </cell>
          <cell r="C86" t="str">
            <v>POR EL SUPATÁ SOÑADO AVANZAMOS JUNTOS EN LA LÍNEA ESTRATÉGICA SOCIAL</v>
          </cell>
          <cell r="D86" t="str">
            <v>VIVIENDA, CIUDAD Y TERRITORIO</v>
          </cell>
          <cell r="E86" t="str">
            <v>Estudios y diseños para la construcción de la casa de gobierno</v>
          </cell>
        </row>
        <row r="87">
          <cell r="A87" t="str">
            <v>META-086</v>
          </cell>
          <cell r="B87" t="str">
            <v>2024257770017</v>
          </cell>
          <cell r="C87" t="str">
            <v>POR EL SUPATÁ SOÑADO AVANZAMOS JUNTOS EN LA LÍNEA ESTRATÉGICA SOCIAL</v>
          </cell>
          <cell r="D87" t="str">
            <v>A.P.S.B</v>
          </cell>
          <cell r="E87" t="str">
            <v xml:space="preserve">Realizar 1 optimizacion a la  planta de tratamiento de agua potable </v>
          </cell>
        </row>
        <row r="88">
          <cell r="A88" t="str">
            <v>META-087</v>
          </cell>
          <cell r="B88" t="str">
            <v>2024257770017</v>
          </cell>
          <cell r="C88" t="str">
            <v>POR EL SUPATÁ SOÑADO AVANZAMOS JUNTOS EN LA LÍNEA ESTRATÉGICA SOCIAL</v>
          </cell>
          <cell r="D88" t="str">
            <v>A.P.S.B</v>
          </cell>
          <cell r="E88" t="str">
            <v>Otorgar  anualmente subsidios a los usuarios de los servicios de acueducto, de los estratos 1, 2 y 3 del área urbana,en el cuatrienio</v>
          </cell>
        </row>
        <row r="89">
          <cell r="A89" t="str">
            <v>META-088</v>
          </cell>
          <cell r="B89" t="str">
            <v>2024257770017</v>
          </cell>
          <cell r="C89" t="str">
            <v>POR EL SUPATÁ SOÑADO AVANZAMOS JUNTOS EN LA LÍNEA ESTRATÉGICA SOCIAL</v>
          </cell>
          <cell r="D89" t="str">
            <v>A.P.S.B</v>
          </cell>
          <cell r="E89" t="str">
            <v xml:space="preserve">Realizar optimizaciones a los acueductos veredales </v>
          </cell>
        </row>
        <row r="90">
          <cell r="A90" t="str">
            <v>META-089</v>
          </cell>
          <cell r="B90" t="str">
            <v>2024257770017</v>
          </cell>
          <cell r="C90" t="str">
            <v>POR EL SUPATÁ SOÑADO AVANZAMOS JUNTOS EN LA LÍNEA ESTRATÉGICA SOCIAL</v>
          </cell>
          <cell r="D90" t="str">
            <v>A.P.S.B</v>
          </cell>
          <cell r="E90" t="str">
            <v>Realizar la construcción de 200 metros lineales de red de acueducto en el municipio</v>
          </cell>
        </row>
        <row r="91">
          <cell r="A91" t="str">
            <v>META-090</v>
          </cell>
          <cell r="B91" t="str">
            <v>2024257770017</v>
          </cell>
          <cell r="C91" t="str">
            <v>POR EL SUPATÁ SOÑADO AVANZAMOS JUNTOS EN LA LÍNEA ESTRATÉGICA SOCIAL</v>
          </cell>
          <cell r="D91" t="str">
            <v>A.P.S.B</v>
          </cell>
          <cell r="E91" t="str">
            <v>Transferir anualmente al Plan Departamental de Aguas            -PDA- los recursos comprometidos a través de Acuerdo Municipal en el cuatrienio.</v>
          </cell>
        </row>
        <row r="92">
          <cell r="A92" t="str">
            <v>META-091</v>
          </cell>
          <cell r="B92" t="str">
            <v>2024257770017</v>
          </cell>
          <cell r="C92" t="str">
            <v>POR EL SUPATÁ SOÑADO AVANZAMOS JUNTOS EN LA LÍNEA ESTRATÉGICA SOCIAL</v>
          </cell>
          <cell r="D92" t="str">
            <v>A.P.S.B</v>
          </cell>
          <cell r="E92" t="str">
            <v>Realizar anulmente doce (12)  analisis de calidad del agua de acuerdo a la resolucion 2115 de 2007</v>
          </cell>
        </row>
        <row r="93">
          <cell r="A93" t="str">
            <v>META-092</v>
          </cell>
          <cell r="B93" t="str">
            <v>2024257770017</v>
          </cell>
          <cell r="C93" t="str">
            <v>POR EL SUPATÁ SOÑADO AVANZAMOS JUNTOS EN LA LÍNEA ESTRATÉGICA SOCIAL</v>
          </cell>
          <cell r="D93" t="str">
            <v>A.P.S.B</v>
          </cell>
          <cell r="E93" t="str">
            <v>elaborar el programa de Uso Eficiente y Ahorro del Agua (PUEAA) en el municipio durante el cuatrienio</v>
          </cell>
        </row>
        <row r="94">
          <cell r="A94" t="str">
            <v>META-093</v>
          </cell>
          <cell r="B94" t="str">
            <v>2024257770017</v>
          </cell>
          <cell r="C94" t="str">
            <v>POR EL SUPATÁ SOÑADO AVANZAMOS JUNTOS EN LA LÍNEA ESTRATÉGICA SOCIAL</v>
          </cell>
          <cell r="D94" t="str">
            <v>A.P.S.B</v>
          </cell>
          <cell r="E94" t="str">
            <v xml:space="preserve">Acompañamiento para la legalizacion de acueductos veredales con requisitos minimos </v>
          </cell>
        </row>
        <row r="95">
          <cell r="A95" t="str">
            <v>META-094</v>
          </cell>
          <cell r="B95" t="str">
            <v>2024257770017</v>
          </cell>
          <cell r="C95" t="str">
            <v>POR EL SUPATÁ SOÑADO AVANZAMOS JUNTOS EN LA LÍNEA ESTRATÉGICA SOCIAL</v>
          </cell>
          <cell r="D95" t="str">
            <v>A.P.S.B</v>
          </cell>
          <cell r="E95" t="str">
            <v xml:space="preserve">implementacion de un programa de micromedicion en el area urbana </v>
          </cell>
        </row>
        <row r="96">
          <cell r="A96" t="str">
            <v>META-095</v>
          </cell>
          <cell r="B96" t="str">
            <v>2024257770017</v>
          </cell>
          <cell r="C96" t="str">
            <v>POR EL SUPATÁ SOÑADO AVANZAMOS JUNTOS EN LA LÍNEA ESTRATÉGICA SOCIAL</v>
          </cell>
          <cell r="D96" t="str">
            <v>A.P.S.B</v>
          </cell>
          <cell r="E96" t="str">
            <v>Realizar anulmente el fortalecimiento para el reporte de la informacion de las entidades de control</v>
          </cell>
        </row>
        <row r="97">
          <cell r="A97" t="str">
            <v>META-096</v>
          </cell>
          <cell r="B97" t="str">
            <v>2024257770017</v>
          </cell>
          <cell r="C97" t="str">
            <v>POR EL SUPATÁ SOÑADO AVANZAMOS JUNTOS EN LA LÍNEA ESTRATÉGICA SOCIAL</v>
          </cell>
          <cell r="D97" t="str">
            <v>A.P.S.B</v>
          </cell>
          <cell r="E97" t="str">
            <v xml:space="preserve">Actualizar el Plan de Saneamiento y Manejo de Vertimientos (PSMV) </v>
          </cell>
        </row>
        <row r="98">
          <cell r="A98" t="str">
            <v>META-097</v>
          </cell>
          <cell r="B98" t="str">
            <v>2024257770017</v>
          </cell>
          <cell r="C98" t="str">
            <v>POR EL SUPATÁ SOÑADO AVANZAMOS JUNTOS EN LA LÍNEA ESTRATÉGICA SOCIAL</v>
          </cell>
          <cell r="D98" t="str">
            <v>A.P.S.B</v>
          </cell>
          <cell r="E98" t="str">
            <v>gestionar la ejecución el Plan Maestro de Acueducto y Alcantarillado</v>
          </cell>
        </row>
        <row r="99">
          <cell r="A99" t="str">
            <v>META-098</v>
          </cell>
          <cell r="B99" t="str">
            <v>2024257770017</v>
          </cell>
          <cell r="C99" t="str">
            <v>POR EL SUPATÁ SOÑADO AVANZAMOS JUNTOS EN LA LÍNEA ESTRATÉGICA SOCIAL</v>
          </cell>
          <cell r="D99" t="str">
            <v>A.P.S.B</v>
          </cell>
          <cell r="E99" t="str">
            <v>Otorgar  anualmente subsidios a los usuarios del servicio de alcantarillado de los estratos 1, 2 y 3 del área urbana,en el cuatrienio</v>
          </cell>
        </row>
        <row r="100">
          <cell r="A100" t="str">
            <v>META-099</v>
          </cell>
          <cell r="B100" t="str">
            <v>2024257770017</v>
          </cell>
          <cell r="C100" t="str">
            <v>POR EL SUPATÁ SOÑADO AVANZAMOS JUNTOS EN LA LÍNEA ESTRATÉGICA SOCIAL</v>
          </cell>
          <cell r="D100" t="str">
            <v>A.P.S.B</v>
          </cell>
          <cell r="E100" t="str">
            <v>Mejoramiento de la planta de tratamiento de aguas residuales -PTAR- del Municipio</v>
          </cell>
        </row>
        <row r="101">
          <cell r="A101" t="str">
            <v>META-100</v>
          </cell>
          <cell r="B101" t="str">
            <v>2024257770017</v>
          </cell>
          <cell r="C101" t="str">
            <v>POR EL SUPATÁ SOÑADO AVANZAMOS JUNTOS EN LA LÍNEA ESTRATÉGICA SOCIAL</v>
          </cell>
          <cell r="D101" t="str">
            <v>A.P.S.B</v>
          </cell>
          <cell r="E101" t="str">
            <v xml:space="preserve">Realizar mejoramiento al alcantarillado sanitario y pluvial </v>
          </cell>
        </row>
        <row r="102">
          <cell r="A102" t="str">
            <v>META-101</v>
          </cell>
          <cell r="B102" t="str">
            <v>2024257770017</v>
          </cell>
          <cell r="C102" t="str">
            <v>POR EL SUPATÁ SOÑADO AVANZAMOS JUNTOS EN LA LÍNEA ESTRATÉGICA SOCIAL</v>
          </cell>
          <cell r="D102" t="str">
            <v>A.P.S.B</v>
          </cell>
          <cell r="E102" t="str">
            <v>Implementar el Plan de gestión integral de residuos sólidos (PGIRS) del municipio en el marco de la Resolución No. 754 de 2014 , la Política Nacional para la Gestión Integral de Residuos Sólidos – CONPES 3874 de 2016, y la Resolución 2184 de 2019, en el cuatrenio</v>
          </cell>
        </row>
        <row r="103">
          <cell r="A103" t="str">
            <v>META-102</v>
          </cell>
          <cell r="B103" t="str">
            <v>2024257770017</v>
          </cell>
          <cell r="C103" t="str">
            <v>POR EL SUPATÁ SOÑADO AVANZAMOS JUNTOS EN LA LÍNEA ESTRATÉGICA SOCIAL</v>
          </cell>
          <cell r="D103" t="str">
            <v>A.P.S.B</v>
          </cell>
          <cell r="E103" t="str">
            <v>Otorgar  anualmente subsidios a los usuarios del servicio de  aseo  de los estratos 1, 2 y 3 del área urbana,en el cuatrienio</v>
          </cell>
        </row>
        <row r="104">
          <cell r="A104" t="str">
            <v>META-103</v>
          </cell>
          <cell r="B104" t="str">
            <v>202500000008261</v>
          </cell>
          <cell r="C104" t="str">
            <v>POR EL SUPATÁ SOÑADO AVANZAMOS JUNTOS EN LA LÍNEA ESTRATÉGICA ECONÓMICA</v>
          </cell>
          <cell r="D104" t="str">
            <v>TECNOLOGIAS DE LA INFORMACIÓN Y LAS COMUNICACIONES</v>
          </cell>
          <cell r="E104" t="str">
            <v>Mantener anualmente una persona calificada para Implementar la estrategia de Gobierno Digital</v>
          </cell>
        </row>
        <row r="105">
          <cell r="A105" t="str">
            <v>META-104</v>
          </cell>
          <cell r="B105" t="str">
            <v>202500000008261</v>
          </cell>
          <cell r="C105" t="str">
            <v>POR EL SUPATÁ SOÑADO AVANZAMOS JUNTOS EN LA LÍNEA ESTRATÉGICA ECONÓMICA</v>
          </cell>
          <cell r="D105" t="str">
            <v>TECNOLOGIAS DE LA INFORMACIÓN Y LAS COMUNICACIONES</v>
          </cell>
          <cell r="E105" t="str">
            <v xml:space="preserve">Realizar 2 dotaciones de software, dotación tecnológica, sonido para eventos   y equipos de altavoz </v>
          </cell>
        </row>
        <row r="106">
          <cell r="A106" t="str">
            <v>META-105</v>
          </cell>
          <cell r="B106" t="str">
            <v>202500000008261</v>
          </cell>
          <cell r="C106" t="str">
            <v>POR EL SUPATÁ SOÑADO AVANZAMOS JUNTOS EN LA LÍNEA ESTRATÉGICA ECONÓMICA</v>
          </cell>
          <cell r="D106" t="str">
            <v>TECNOLOGIAS DE LA INFORMACIÓN Y LAS COMUNICACIONES</v>
          </cell>
          <cell r="E106" t="str">
            <v>Realizar anualmente 4 actualizaciones a la página web del municipio con el objetivo de cumplir anualmente con el informe ITA de la Procuraduría General de la Nación</v>
          </cell>
        </row>
        <row r="107">
          <cell r="A107" t="str">
            <v>META-106</v>
          </cell>
          <cell r="B107" t="str">
            <v>202500000008863</v>
          </cell>
          <cell r="C107" t="str">
            <v>POR EL SUPATÁ SOÑADO AVANZAMOS JUNTOS EN LA LÍNEA ESTRATÉGICA ECONÓMICA</v>
          </cell>
          <cell r="D107" t="str">
            <v>TECNOLOGIAS DE LA INFORMACIÓN Y LAS COMUNICACIONES</v>
          </cell>
          <cell r="E107" t="str">
            <v>Realizar anualmente la Implementación de trámites y servicios en línea</v>
          </cell>
        </row>
        <row r="108">
          <cell r="A108" t="str">
            <v>META-107</v>
          </cell>
          <cell r="B108" t="str">
            <v>202500000008863</v>
          </cell>
          <cell r="C108" t="str">
            <v>POR EL SUPATÁ SOÑADO AVANZAMOS JUNTOS EN LA LÍNEA ESTRATÉGICA ECONÓMICA</v>
          </cell>
          <cell r="D108" t="str">
            <v>TECNOLOGIAS DE LA INFORMACIÓN Y LAS COMUNICACIONES</v>
          </cell>
          <cell r="E108" t="str">
            <v>Realizar 4 capacitaciones sobre la importancia de Gobierno Digital y  de las TICS</v>
          </cell>
        </row>
        <row r="109">
          <cell r="A109" t="str">
            <v>META-108</v>
          </cell>
          <cell r="B109" t="str">
            <v>2024257770020</v>
          </cell>
          <cell r="C109" t="str">
            <v>POR EL SUPATÁ SOÑADO AVANZAMOS JUNTOS EN LA LÍNEA ESTRATÉGICA ECONÓMICA</v>
          </cell>
          <cell r="D109" t="str">
            <v>TURISMO</v>
          </cell>
          <cell r="E109" t="str">
            <v>Realizar la construccion de 1 mirador turistico</v>
          </cell>
        </row>
        <row r="110">
          <cell r="A110" t="str">
            <v>META-109</v>
          </cell>
          <cell r="B110" t="str">
            <v>2024257770020</v>
          </cell>
          <cell r="C110" t="str">
            <v>POR EL SUPATÁ SOÑADO AVANZAMOS JUNTOS EN LA LÍNEA ESTRATÉGICA ECONÓMICA</v>
          </cell>
          <cell r="D110" t="str">
            <v>TURISMO</v>
          </cell>
          <cell r="E110" t="str">
            <v>Elaborar el plan turistico del municipio</v>
          </cell>
        </row>
        <row r="111">
          <cell r="A111" t="str">
            <v>META-110</v>
          </cell>
          <cell r="B111" t="str">
            <v>2024257770020</v>
          </cell>
          <cell r="C111" t="str">
            <v>POR EL SUPATÁ SOÑADO AVANZAMOS JUNTOS EN LA LÍNEA ESTRATÉGICA ECONÓMICA</v>
          </cell>
          <cell r="D111" t="str">
            <v>TURISMO</v>
          </cell>
          <cell r="E111" t="str">
            <v>Realizar 4 capacitaciones a los operadores sobre servicios turisticos</v>
          </cell>
        </row>
        <row r="112">
          <cell r="A112" t="str">
            <v>META-111</v>
          </cell>
          <cell r="B112" t="str">
            <v>2024257770020</v>
          </cell>
          <cell r="C112" t="str">
            <v>POR EL SUPATÁ SOÑADO AVANZAMOS JUNTOS EN LA LÍNEA ESTRATÉGICA ECONÓMICA</v>
          </cell>
          <cell r="D112" t="str">
            <v>TURISMO</v>
          </cell>
          <cell r="E112" t="str">
            <v>Brindar anualmente apoyo a iniciativas de proyectos turísticos</v>
          </cell>
        </row>
        <row r="113">
          <cell r="A113" t="str">
            <v>META-112</v>
          </cell>
          <cell r="B113" t="str">
            <v>2024257770020</v>
          </cell>
          <cell r="C113" t="str">
            <v>POR EL SUPATÁ SOÑADO AVANZAMOS JUNTOS EN LA LÍNEA ESTRATÉGICA ECONÓMICA</v>
          </cell>
          <cell r="D113" t="str">
            <v>TURISMO</v>
          </cell>
          <cell r="E113" t="str">
            <v>Realizar eventos turísticas para que se admire la  riqueza ecoturista y agroturista</v>
          </cell>
        </row>
        <row r="114">
          <cell r="A114" t="str">
            <v>META-113</v>
          </cell>
          <cell r="B114" t="str">
            <v>2024257770020</v>
          </cell>
          <cell r="C114" t="str">
            <v>POR EL SUPATÁ SOÑADO AVANZAMOS JUNTOS EN LA LÍNEA ESTRATÉGICA ECONÓMICA</v>
          </cell>
          <cell r="D114" t="str">
            <v>TURISMO</v>
          </cell>
          <cell r="E114" t="str">
            <v>Realizar anualmente alianzas turisticas con entidades de orden nacional, departamental y de cooperacion internacional</v>
          </cell>
        </row>
        <row r="115">
          <cell r="A115" t="str">
            <v>META-114</v>
          </cell>
          <cell r="B115" t="str">
            <v>2024257770020</v>
          </cell>
          <cell r="C115" t="str">
            <v>POR EL SUPATÁ SOÑADO AVANZAMOS JUNTOS EN LA LÍNEA ESTRATÉGICA ECONÓMICA</v>
          </cell>
          <cell r="D115" t="str">
            <v>TURISMO</v>
          </cell>
          <cell r="E115" t="str">
            <v xml:space="preserve">Implementar una campaña de estrategia para la promoción del turismo religioso </v>
          </cell>
        </row>
        <row r="116">
          <cell r="A116" t="str">
            <v>META-115</v>
          </cell>
          <cell r="B116" t="str">
            <v>2024257770020</v>
          </cell>
          <cell r="C116" t="str">
            <v>POR EL SUPATÁ SOÑADO AVANZAMOS JUNTOS EN LA LÍNEA ESTRATÉGICA ECONÓMICA</v>
          </cell>
          <cell r="D116" t="str">
            <v>TURISMO</v>
          </cell>
          <cell r="E116" t="str">
            <v>gestionar proyectos para buscar apoyo en  mantenimiento, mejorameinto o construccion a zonas naturales de uso turístico</v>
          </cell>
        </row>
        <row r="117">
          <cell r="A117" t="str">
            <v>META-116</v>
          </cell>
          <cell r="B117" t="str">
            <v>2024257770020</v>
          </cell>
          <cell r="C117" t="str">
            <v>POR EL SUPATÁ SOÑADO AVANZAMOS JUNTOS EN LA LÍNEA ESTRATÉGICA ECONÓMICA</v>
          </cell>
          <cell r="D117" t="str">
            <v>TURISMO</v>
          </cell>
          <cell r="E117" t="str">
            <v>Apoyar anualmente la asociatividad productiva y comercial en el municipio</v>
          </cell>
        </row>
        <row r="118">
          <cell r="A118" t="str">
            <v>META-117</v>
          </cell>
          <cell r="B118" t="str">
            <v>2024257770021</v>
          </cell>
          <cell r="C118" t="str">
            <v>POR EL SUPATÁ SOÑADO AVANZAMOS JUNTOS EN LA LÍNEA ESTRATÉGICA ECONÓMICA</v>
          </cell>
          <cell r="D118" t="str">
            <v>TRANSPORTE</v>
          </cell>
          <cell r="E118" t="str">
            <v>Realizar mantenimiento rutinario de 50 Km de vías rurales del municipio (cuneteando, conformando, afirmado y compactado, según la necesidad) en el cuatrienio</v>
          </cell>
        </row>
        <row r="119">
          <cell r="A119" t="str">
            <v>META-118</v>
          </cell>
          <cell r="B119" t="str">
            <v>2024257770021</v>
          </cell>
          <cell r="C119" t="str">
            <v>POR EL SUPATÁ SOÑADO AVANZAMOS JUNTOS EN LA LÍNEA ESTRATÉGICA ECONÓMICA</v>
          </cell>
          <cell r="D119" t="str">
            <v>TRANSPORTE</v>
          </cell>
          <cell r="E119" t="str">
            <v>Realizar el mejoramiento, adecuación de vías en la zona rural a través de la construcción de 1.000 ML de placa huellas en concreto o pavimentación, en el cuatrienio</v>
          </cell>
        </row>
        <row r="120">
          <cell r="A120" t="str">
            <v>META-119</v>
          </cell>
          <cell r="B120" t="str">
            <v>2024257770021</v>
          </cell>
          <cell r="C120" t="str">
            <v>POR EL SUPATÁ SOÑADO AVANZAMOS JUNTOS EN LA LÍNEA ESTRATÉGICA ECONÓMICA</v>
          </cell>
          <cell r="D120" t="str">
            <v>TRANSPORTE</v>
          </cell>
          <cell r="E120" t="str">
            <v>Construir  10 obras de arte para el mantenimiento y mejoramiento de la red terciaria del municipio, durante el cuatrienio</v>
          </cell>
        </row>
        <row r="121">
          <cell r="A121" t="str">
            <v>META-120</v>
          </cell>
          <cell r="B121" t="str">
            <v>2024257770021</v>
          </cell>
          <cell r="C121" t="str">
            <v>POR EL SUPATÁ SOÑADO AVANZAMOS JUNTOS EN LA LÍNEA ESTRATÉGICA ECONÓMICA</v>
          </cell>
          <cell r="D121" t="str">
            <v>TRANSPORTE</v>
          </cell>
          <cell r="E121" t="str">
            <v xml:space="preserve">Adquirir maquinaria amarilla </v>
          </cell>
        </row>
        <row r="122">
          <cell r="A122" t="str">
            <v>META-121</v>
          </cell>
          <cell r="B122" t="str">
            <v>2024257770021</v>
          </cell>
          <cell r="C122" t="str">
            <v>POR EL SUPATÁ SOÑADO AVANZAMOS JUNTOS EN LA LÍNEA ESTRATÉGICA ECONÓMICA</v>
          </cell>
          <cell r="D122" t="str">
            <v>TRANSPORTE</v>
          </cell>
          <cell r="E122" t="str">
            <v>Realizar 3 mantenimientos a la maquinaria amarilla propiedad del municipio</v>
          </cell>
        </row>
        <row r="123">
          <cell r="A123" t="str">
            <v>META-122</v>
          </cell>
          <cell r="B123" t="str">
            <v>2024257770021</v>
          </cell>
          <cell r="C123" t="str">
            <v>POR EL SUPATÁ SOÑADO AVANZAMOS JUNTOS EN LA LÍNEA ESTRATÉGICA ECONÓMICA</v>
          </cell>
          <cell r="D123" t="str">
            <v>TRANSPORTE</v>
          </cell>
          <cell r="E123" t="str">
            <v>Realizar la apertura de 2 km de vías terciarias dentro del municipio</v>
          </cell>
        </row>
        <row r="124">
          <cell r="A124" t="str">
            <v>META-123</v>
          </cell>
          <cell r="B124" t="str">
            <v>2024257770021</v>
          </cell>
          <cell r="C124" t="str">
            <v>POR EL SUPATÁ SOÑADO AVANZAMOS JUNTOS EN LA LÍNEA ESTRATÉGICA ECONÓMICA</v>
          </cell>
          <cell r="D124" t="str">
            <v>TRANSPORTE</v>
          </cell>
          <cell r="E124" t="str">
            <v>Realizar el mantenimiento,  rehabilitación  y adecuación  de 100 ML de vías en la zona urbana del municipio, en el periodo de gobierno</v>
          </cell>
        </row>
        <row r="125">
          <cell r="A125" t="str">
            <v>META-124</v>
          </cell>
          <cell r="B125" t="str">
            <v>2024257770021</v>
          </cell>
          <cell r="C125" t="str">
            <v>POR EL SUPATÁ SOÑADO AVANZAMOS JUNTOS EN LA LÍNEA ESTRATÉGICA ECONÓMICA</v>
          </cell>
          <cell r="D125" t="str">
            <v>TRANSPORTE</v>
          </cell>
          <cell r="E125" t="str">
            <v>Mejoramiento y mantenimiento 2 puentes vehiculares,  en la zona rural o urbana del municipio</v>
          </cell>
        </row>
        <row r="126">
          <cell r="A126" t="str">
            <v>META-125</v>
          </cell>
          <cell r="B126" t="str">
            <v>2024257770021</v>
          </cell>
          <cell r="C126" t="str">
            <v>POR EL SUPATÁ SOÑADO AVANZAMOS JUNTOS EN LA LÍNEA ESTRATÉGICA ECONÓMICA</v>
          </cell>
          <cell r="D126" t="str">
            <v>TRANSPORTE</v>
          </cell>
          <cell r="E126" t="str">
            <v>Hacer mantenimiento y/o adecuación  a  4 caminos reales  durante el cuatrienio.</v>
          </cell>
        </row>
        <row r="127">
          <cell r="A127" t="str">
            <v>META-126</v>
          </cell>
          <cell r="B127" t="str">
            <v>2024257770021</v>
          </cell>
          <cell r="C127" t="str">
            <v>POR EL SUPATÁ SOÑADO AVANZAMOS JUNTOS EN LA LÍNEA ESTRATÉGICA ECONÓMICA</v>
          </cell>
          <cell r="D127" t="str">
            <v>TRANSPORTE</v>
          </cell>
          <cell r="E127" t="str">
            <v xml:space="preserve">Realizar 300 metros lineales de señalizacion de vías terciarias y urbanas del municipio. </v>
          </cell>
        </row>
        <row r="128">
          <cell r="A128" t="str">
            <v>META-127</v>
          </cell>
          <cell r="B128" t="str">
            <v>2024257770021</v>
          </cell>
          <cell r="E128" t="str">
            <v>Realizar  4 capacitaciones sobre seguridad vial a los actores viales del municipio</v>
          </cell>
        </row>
        <row r="129">
          <cell r="A129" t="str">
            <v>META-128</v>
          </cell>
          <cell r="B129" t="str">
            <v>2024257770023</v>
          </cell>
          <cell r="C129" t="str">
            <v>POR EL SUPATÁ SOÑADO AVANZAMOS JUNTOS EN LA LÍNEA ESTRATÉGICA ECONÓMICA</v>
          </cell>
          <cell r="D129" t="str">
            <v>AGROPECUARIO</v>
          </cell>
          <cell r="E129" t="str">
            <v>Apoyo   (2) proyectos productivos que me garanticen el uso eficiente en ganaderia y uso del suelo.</v>
          </cell>
        </row>
        <row r="130">
          <cell r="A130" t="str">
            <v>META-129</v>
          </cell>
          <cell r="B130" t="str">
            <v>2024257770023</v>
          </cell>
          <cell r="C130" t="str">
            <v>POR EL SUPATÁ SOÑADO AVANZAMOS JUNTOS EN LA LÍNEA ESTRATÉGICA ECONÓMICA</v>
          </cell>
          <cell r="D130" t="str">
            <v>AGROPECUARIO</v>
          </cell>
          <cell r="E130" t="str">
            <v>Realizar 400 visitas  técnicas solicitada a los sistemas de producción agricolas</v>
          </cell>
        </row>
        <row r="131">
          <cell r="A131" t="str">
            <v>META-130</v>
          </cell>
          <cell r="B131" t="str">
            <v>2024257770023</v>
          </cell>
          <cell r="C131" t="str">
            <v>POR EL SUPATÁ SOÑADO AVANZAMOS JUNTOS EN LA LÍNEA ESTRATÉGICA ECONÓMICA</v>
          </cell>
          <cell r="D131" t="str">
            <v>AGROPECUARIO</v>
          </cell>
          <cell r="E131" t="str">
            <v>Implementar 80 huertas y huertos  caseras</v>
          </cell>
        </row>
        <row r="132">
          <cell r="A132" t="str">
            <v>META-131</v>
          </cell>
          <cell r="B132" t="str">
            <v>2024257770023</v>
          </cell>
          <cell r="C132" t="str">
            <v>POR EL SUPATÁ SOÑADO AVANZAMOS JUNTOS EN LA LÍNEA ESTRATÉGICA ECONÓMICA</v>
          </cell>
          <cell r="D132" t="str">
            <v>AGROPECUARIO</v>
          </cell>
          <cell r="E132" t="str">
            <v>Apoyo a  20  pequeños productores cafeteros del municipio para aumentar las áreas de siembra, mejorar la capacidad productiva y competitividad, en el cuatrenio</v>
          </cell>
        </row>
        <row r="133">
          <cell r="A133" t="str">
            <v>META-132</v>
          </cell>
          <cell r="B133" t="str">
            <v>2024257770023</v>
          </cell>
          <cell r="C133" t="str">
            <v>POR EL SUPATÁ SOÑADO AVANZAMOS JUNTOS EN LA LÍNEA ESTRATÉGICA ECONÓMICA</v>
          </cell>
          <cell r="D133" t="str">
            <v>AGROPECUARIO</v>
          </cell>
          <cell r="E133" t="str">
            <v>Fortalecer  el Programa de Mercados Campesinos para aumentar la comercializacion de los productos agropecuarios</v>
          </cell>
        </row>
        <row r="134">
          <cell r="A134" t="str">
            <v>META-133</v>
          </cell>
          <cell r="B134" t="str">
            <v>2024257770023</v>
          </cell>
          <cell r="C134" t="str">
            <v>POR EL SUPATÁ SOÑADO AVANZAMOS JUNTOS EN LA LÍNEA ESTRATÉGICA ECONÓMICA</v>
          </cell>
          <cell r="D134" t="str">
            <v>AGROPECUARIO</v>
          </cell>
          <cell r="E134" t="str">
            <v>Apoyar a 20 usuarios en la implementacion de sistemas de producción pecuaria con especies menores.</v>
          </cell>
        </row>
        <row r="135">
          <cell r="A135" t="str">
            <v>META-134</v>
          </cell>
          <cell r="B135" t="str">
            <v>2024257770023</v>
          </cell>
          <cell r="C135" t="str">
            <v>POR EL SUPATÁ SOÑADO AVANZAMOS JUNTOS EN LA LÍNEA ESTRATÉGICA ECONÓMICA</v>
          </cell>
          <cell r="D135" t="str">
            <v>AGROPECUARIO</v>
          </cell>
          <cell r="E135" t="str">
            <v>Fortalecer anualmente las asociasiones de productores legalmente constituidas</v>
          </cell>
        </row>
        <row r="136">
          <cell r="A136" t="str">
            <v>META-135</v>
          </cell>
          <cell r="B136" t="str">
            <v>2024257770024</v>
          </cell>
          <cell r="C136" t="str">
            <v>POR EL SUPATÁ SOÑADO AVANZAMOS JUNTOS EN LA LÍNEA ESTRATÉGICA ECONÓMICA</v>
          </cell>
          <cell r="D136" t="str">
            <v>AGROPECUARIO</v>
          </cell>
          <cell r="E136" t="str">
            <v>Capacitar a 100 personas  que elaboren en fincas ganaderas en normatividad ICA</v>
          </cell>
        </row>
        <row r="137">
          <cell r="A137" t="str">
            <v>META-136</v>
          </cell>
          <cell r="B137" t="str">
            <v>202500000009592</v>
          </cell>
          <cell r="C137" t="str">
            <v>POR EL SUPATÁ SOÑADO AVANZAMOS JUNTOS EN LA LÍNEA ESTRATÉGICA ECONÓMICA</v>
          </cell>
          <cell r="D137" t="str">
            <v>AGROPECUARIO</v>
          </cell>
          <cell r="E137" t="str">
            <v>Organizar (4) ferias agropecuarias</v>
          </cell>
        </row>
        <row r="138">
          <cell r="A138" t="str">
            <v>META-137</v>
          </cell>
          <cell r="B138" t="str">
            <v>202500000008911</v>
          </cell>
          <cell r="C138" t="str">
            <v>POR EL SUPATÁ SOÑADO AVANZAMOS JUNTOS EN LA LÍNEA ESTRATÉGICA ECONÓMICA</v>
          </cell>
          <cell r="D138" t="str">
            <v>AGROPECUARIO</v>
          </cell>
          <cell r="E138" t="str">
            <v xml:space="preserve">Realizar 500 procedimientos de esterilización canina y felina con el fin de hacer control de población canina y felina </v>
          </cell>
        </row>
        <row r="139">
          <cell r="A139" t="str">
            <v>META-138</v>
          </cell>
          <cell r="B139" t="str">
            <v>202500000009564</v>
          </cell>
          <cell r="C139" t="str">
            <v>POR EL SUPATÁ SOÑADO AVANZAMOS JUNTOS EN LA LÍNEA ESTRATÉGICA ECONÓMICA</v>
          </cell>
          <cell r="D139" t="str">
            <v>AGROPECUARIO</v>
          </cell>
          <cell r="E139" t="str">
            <v>Crear el plan agropecuario municipal</v>
          </cell>
        </row>
        <row r="140">
          <cell r="A140" t="str">
            <v>META-139</v>
          </cell>
          <cell r="B140" t="str">
            <v>202500000008931</v>
          </cell>
          <cell r="C140" t="str">
            <v>POR EL SUPATÁ SOÑADO AVANZAMOS JUNTOS EN LA LÍNEA ESTRATÉGICA ECONÓMICA</v>
          </cell>
          <cell r="D140" t="str">
            <v>AGROPECUARIO</v>
          </cell>
          <cell r="E140" t="str">
            <v xml:space="preserve">Realizar 500 chequeos reproductivos  en ganado bovino de los diferentes productores del municipio </v>
          </cell>
        </row>
        <row r="141">
          <cell r="A141" t="str">
            <v>META-140</v>
          </cell>
          <cell r="B141" t="str">
            <v>202500000008931</v>
          </cell>
          <cell r="C141" t="str">
            <v>POR EL SUPATÁ SOÑADO AVANZAMOS JUNTOS EN LA LÍNEA ESTRATÉGICA ECONÓMICA</v>
          </cell>
          <cell r="D141" t="str">
            <v>AGROPECUARIO</v>
          </cell>
          <cell r="E141" t="str">
            <v>Reforzar 5 parcelas de cultivos tradicionales, implementando los pincipios basicos de conservación</v>
          </cell>
        </row>
        <row r="142">
          <cell r="A142" t="str">
            <v>META-141</v>
          </cell>
          <cell r="B142" t="str">
            <v>202500000008931</v>
          </cell>
          <cell r="C142" t="str">
            <v>POR EL SUPATÁ SOÑADO AVANZAMOS JUNTOS EN LA LÍNEA ESTRATÉGICA ECONÓMICA</v>
          </cell>
          <cell r="D142" t="str">
            <v>AGROPECUARIO</v>
          </cell>
          <cell r="E142" t="str">
            <v>Realizar 400 inseminaciones artificiales en ganado bovino de los diferentes productores</v>
          </cell>
        </row>
        <row r="143">
          <cell r="A143" t="str">
            <v>META-142</v>
          </cell>
          <cell r="B143" t="str">
            <v>202500000008931</v>
          </cell>
          <cell r="C143" t="str">
            <v>POR EL SUPATÁ SOÑADO AVANZAMOS JUNTOS EN LA LÍNEA ESTRATÉGICA ECONÓMICA</v>
          </cell>
          <cell r="D143" t="str">
            <v>AGROPECUARIO</v>
          </cell>
          <cell r="E143" t="str">
            <v>Mantener el (1) proyecto de mejoramiento genético</v>
          </cell>
        </row>
        <row r="144">
          <cell r="A144" t="str">
            <v>META-143</v>
          </cell>
          <cell r="B144" t="str">
            <v>2024257770029</v>
          </cell>
          <cell r="C144" t="str">
            <v>POR EL SUPATÁ SOÑADO AVANZAMOS JUNTOS EN LA LÍNEA ESTRATÉGICA ECONÓMICA</v>
          </cell>
          <cell r="D144" t="str">
            <v>AGROPECUARIO</v>
          </cell>
          <cell r="E144" t="str">
            <v>Ajustar los estudios y diseños del distrito de riego para solicitar financiacion en una entidad nacional</v>
          </cell>
        </row>
        <row r="145">
          <cell r="A145" t="str">
            <v>META-144</v>
          </cell>
          <cell r="B145" t="str">
            <v>2024257770029</v>
          </cell>
          <cell r="C145" t="str">
            <v>POR EL SUPATÁ SOÑADO AVANZAMOS JUNTOS EN LA LÍNEA ESTRATÉGICA ECONÓMICA</v>
          </cell>
          <cell r="D145" t="str">
            <v>AGROPECUARIO</v>
          </cell>
          <cell r="E145" t="str">
            <v xml:space="preserve">gestionar los estudios y diseños de un centro de acopio para productos agropecuarios. </v>
          </cell>
        </row>
        <row r="146">
          <cell r="A146" t="str">
            <v>META-145</v>
          </cell>
          <cell r="B146" t="str">
            <v>2024257770030</v>
          </cell>
          <cell r="C146" t="str">
            <v>POR EL SUPATÁ SOÑADO AVANZAMOS JUNTOS EN LA LÍNEA ESTRATÉGICA INSTITUCIONAL</v>
          </cell>
          <cell r="D146" t="str">
            <v>FORTALECIMIENTO INSTITUCIONAL</v>
          </cell>
          <cell r="E146" t="str">
            <v>Apoyo Jurídico y operativo para el proceso de cobro coactivo y la actualización del estatuto tributario Municipal.</v>
          </cell>
        </row>
        <row r="147">
          <cell r="A147" t="str">
            <v>META-146</v>
          </cell>
          <cell r="B147" t="str">
            <v>2024257770030</v>
          </cell>
          <cell r="C147" t="str">
            <v>POR EL SUPATÁ SOÑADO AVANZAMOS JUNTOS EN LA LÍNEA ESTRATÉGICA INSTITUCIONAL</v>
          </cell>
          <cell r="D147" t="str">
            <v>FORTALECIMIENTO INSTITUCIONAL</v>
          </cell>
          <cell r="E147" t="str">
            <v>Modernización Tecnológica y administrativa para la Gestión Financiera y Fiscal del Municipio de Supatá Cundinamarca</v>
          </cell>
        </row>
        <row r="148">
          <cell r="A148" t="str">
            <v>META-147</v>
          </cell>
          <cell r="B148" t="str">
            <v>2024257770030</v>
          </cell>
          <cell r="C148" t="str">
            <v>POR EL SUPATÁ SOÑADO AVANZAMOS JUNTOS EN LA LÍNEA ESTRATÉGICA INSTITUCIONAL</v>
          </cell>
          <cell r="D148" t="str">
            <v>FORTALECIMIENTO INSTITUCIONAL</v>
          </cell>
          <cell r="E148" t="str">
            <v>Implementar un  programa  anual para el Fortalecimiento Institucional</v>
          </cell>
        </row>
        <row r="149">
          <cell r="A149" t="str">
            <v>META-148</v>
          </cell>
          <cell r="B149" t="str">
            <v>2024257770030</v>
          </cell>
          <cell r="C149" t="str">
            <v>POR EL SUPATÁ SOÑADO AVANZAMOS JUNTOS EN LA LÍNEA ESTRATÉGICA INSTITUCIONAL</v>
          </cell>
          <cell r="D149" t="str">
            <v>FORTALECIMIENTO INSTITUCIONAL</v>
          </cell>
          <cell r="E149" t="str">
            <v>Realizar un mantenimiento anual de los bienes inmuebles  de propiedad del municipio en el cuatrienio.</v>
          </cell>
        </row>
        <row r="150">
          <cell r="A150" t="str">
            <v>META-149</v>
          </cell>
          <cell r="B150" t="str">
            <v>2024257770030</v>
          </cell>
          <cell r="C150" t="str">
            <v>POR EL SUPATÁ SOÑADO AVANZAMOS JUNTOS EN LA LÍNEA ESTRATÉGICA INSTITUCIONAL</v>
          </cell>
          <cell r="D150" t="str">
            <v>FORTALECIMIENTO INSTITUCIONAL</v>
          </cell>
          <cell r="E150" t="str">
            <v>Realizar construcción de la infraestructura de la Casa de Gobierno del municipio</v>
          </cell>
        </row>
        <row r="151">
          <cell r="A151" t="str">
            <v>META-150</v>
          </cell>
          <cell r="B151" t="str">
            <v>2024257770030</v>
          </cell>
          <cell r="C151" t="str">
            <v>POR EL SUPATÁ SOÑADO AVANZAMOS JUNTOS EN LA LÍNEA ESTRATÉGICA INSTITUCIONAL</v>
          </cell>
          <cell r="D151" t="str">
            <v>FORTALECIMIENTO INSTITUCIONAL</v>
          </cell>
          <cell r="E151" t="str">
            <v>Implementar y ejecutar un Programa anual del Sistema General de Seguridad y Salud en el trabajo en el cuatrienio</v>
          </cell>
        </row>
        <row r="152">
          <cell r="A152" t="str">
            <v>META-151</v>
          </cell>
          <cell r="B152" t="str">
            <v>2024257770030</v>
          </cell>
          <cell r="C152" t="str">
            <v>POR EL SUPATÁ SOÑADO AVANZAMOS JUNTOS EN LA LÍNEA ESTRATÉGICA INSTITUCIONAL</v>
          </cell>
          <cell r="D152" t="str">
            <v>FORTALECIMIENTO INSTITUCIONAL</v>
          </cell>
          <cell r="E152" t="str">
            <v>Realizar anualmente  la contratacion de personal especializado, profesional, tecnico y asistencial en la prestacion de servicios y  apoyo de la gestion en las dependencias de la administracion municipal</v>
          </cell>
        </row>
        <row r="153">
          <cell r="A153" t="str">
            <v>META-152</v>
          </cell>
          <cell r="B153" t="str">
            <v>2024257770030</v>
          </cell>
          <cell r="C153" t="str">
            <v>POR EL SUPATÁ SOÑADO AVANZAMOS JUNTOS EN LA LÍNEA ESTRATÉGICA INSTITUCIONAL</v>
          </cell>
          <cell r="D153" t="str">
            <v>FORTALECIMIENTO INSTITUCIONAL</v>
          </cell>
          <cell r="E153" t="str">
            <v>Implementar un Plan Anual de Bienestar  e Incentivos para los funcionarios de la administración municipal</v>
          </cell>
        </row>
        <row r="154">
          <cell r="A154" t="str">
            <v>META-153</v>
          </cell>
          <cell r="B154" t="str">
            <v>2024257770030</v>
          </cell>
          <cell r="C154" t="str">
            <v>POR EL SUPATÁ SOÑADO AVANZAMOS JUNTOS EN LA LÍNEA ESTRATÉGICA INSTITUCIONAL</v>
          </cell>
          <cell r="D154" t="str">
            <v>FORTALECIMIENTO INSTITUCIONAL</v>
          </cell>
          <cell r="E154" t="str">
            <v>Organizar los archivos de gestión y fondos acumulados de la Administración Municipal  de acuerdo a las  normas vigentes relacionada con los archivos, durante el cuatrienio</v>
          </cell>
        </row>
        <row r="155">
          <cell r="A155" t="str">
            <v>META-154</v>
          </cell>
          <cell r="B155" t="str">
            <v>2024257770031</v>
          </cell>
          <cell r="C155" t="str">
            <v>POR EL SUPATÁ SOÑADO AVANZAMOS JUNTOS EN LA LÍNEA ESTRATÉGICA INSTITUCIONAL</v>
          </cell>
          <cell r="D155" t="str">
            <v>FORTALECIMIENTO INSTITUCIONAL</v>
          </cell>
          <cell r="E155" t="str">
            <v>Realizar (8) reuniones del CMGRD para el establecimiento de mecanismos alerta y reacción ante situaciones de riesgo.</v>
          </cell>
        </row>
        <row r="156">
          <cell r="A156" t="str">
            <v>META-155</v>
          </cell>
          <cell r="B156" t="str">
            <v>2024257770031</v>
          </cell>
          <cell r="C156" t="str">
            <v>POR EL SUPATÁ SOÑADO AVANZAMOS JUNTOS EN LA LÍNEA ESTRATÉGICA INSTITUCIONAL</v>
          </cell>
          <cell r="D156" t="str">
            <v>FORTALECIMIENTO INSTITUCIONAL</v>
          </cell>
          <cell r="E156" t="str">
            <v>Realizar un convenio con el cuerpo de bomberos</v>
          </cell>
        </row>
        <row r="157">
          <cell r="A157" t="str">
            <v>META-156</v>
          </cell>
          <cell r="B157" t="str">
            <v>2024257770031</v>
          </cell>
          <cell r="C157" t="str">
            <v>POR EL SUPATÁ SOÑADO AVANZAMOS JUNTOS EN LA LÍNEA ESTRATÉGICA INSTITUCIONAL</v>
          </cell>
          <cell r="D157" t="str">
            <v>FORTALECIMIENTO INSTITUCIONAL</v>
          </cell>
          <cell r="E157" t="str">
            <v>Realizar  obras  de mitigación del Riesgo</v>
          </cell>
        </row>
        <row r="158">
          <cell r="A158" t="str">
            <v>META-157</v>
          </cell>
          <cell r="B158" t="str">
            <v>2024257770031</v>
          </cell>
          <cell r="C158" t="str">
            <v>POR EL SUPATÁ SOÑADO AVANZAMOS JUNTOS EN LA LÍNEA ESTRATÉGICA INSTITUCIONAL</v>
          </cell>
          <cell r="D158" t="str">
            <v>FORTALECIMIENTO INSTITUCIONAL</v>
          </cell>
          <cell r="E158" t="str">
            <v>Realizar anualmente (1) asistencia tecnica de apoyo a los grupos de socorro</v>
          </cell>
        </row>
        <row r="159">
          <cell r="A159" t="str">
            <v>META-158</v>
          </cell>
          <cell r="B159" t="str">
            <v>2024257770031</v>
          </cell>
          <cell r="C159" t="str">
            <v>POR EL SUPATÁ SOÑADO AVANZAMOS JUNTOS EN LA LÍNEA ESTRATÉGICA INSTITUCIONAL</v>
          </cell>
          <cell r="D159" t="str">
            <v>FORTALECIMIENTO INSTITUCIONAL</v>
          </cell>
          <cell r="E159" t="str">
            <v>Actualizar el plan de gestión del riesgo de desastres y estrategia para la respuesta a emergencias</v>
          </cell>
        </row>
        <row r="160">
          <cell r="A160" t="str">
            <v>META-159</v>
          </cell>
          <cell r="B160" t="str">
            <v>2024257770031</v>
          </cell>
          <cell r="C160" t="str">
            <v>POR EL SUPATÁ SOÑADO AVANZAMOS JUNTOS EN LA LÍNEA ESTRATÉGICA INSTITUCIONAL</v>
          </cell>
          <cell r="D160" t="str">
            <v>FORTALECIMIENTO INSTITUCIONAL</v>
          </cell>
          <cell r="E160" t="str">
            <v>Capacitar a 20 lideres comunitarios en tema de atención y prevención de Gestión del Riesgo</v>
          </cell>
        </row>
        <row r="161">
          <cell r="A161" t="str">
            <v>META-160</v>
          </cell>
          <cell r="B161" t="str">
            <v>2024257770031</v>
          </cell>
          <cell r="C161" t="str">
            <v>POR EL SUPATÁ SOÑADO AVANZAMOS JUNTOS EN LA LÍNEA ESTRATÉGICA INSTITUCIONAL</v>
          </cell>
          <cell r="D161" t="str">
            <v>FORTALECIMIENTO INSTITUCIONAL</v>
          </cell>
          <cell r="E161" t="str">
            <v>Realizar (4) simulacros de evacuación</v>
          </cell>
        </row>
        <row r="162">
          <cell r="A162" t="str">
            <v>META-161</v>
          </cell>
          <cell r="B162" t="str">
            <v>2024257770031</v>
          </cell>
          <cell r="C162" t="str">
            <v>POR EL SUPATÁ SOÑADO AVANZAMOS JUNTOS EN LA LÍNEA ESTRATÉGICA INSTITUCIONAL</v>
          </cell>
          <cell r="D162" t="str">
            <v>FORTALECIMIENTO INSTITUCIONAL</v>
          </cell>
          <cell r="E162" t="str">
            <v>Implementar un programa anual  para la  ayuda humanitaria y la atención de la población afectada por desastres y emergencias sanitarias</v>
          </cell>
        </row>
        <row r="163">
          <cell r="A163" t="str">
            <v>META-162</v>
          </cell>
          <cell r="B163" t="str">
            <v>2024257770031</v>
          </cell>
          <cell r="C163" t="str">
            <v>POR EL SUPATÁ SOÑADO AVANZAMOS JUNTOS EN LA LÍNEA ESTRATÉGICA INSTITUCIONAL</v>
          </cell>
          <cell r="D163" t="str">
            <v>FORTALECIMIENTO INSTITUCIONAL</v>
          </cell>
          <cell r="E163" t="str">
            <v>Realizar ( 4) capacitaciones del comité Local de Atención y Prevención de Desastres en atención y prevención del riesgo</v>
          </cell>
        </row>
        <row r="164">
          <cell r="A164" t="str">
            <v>META-163</v>
          </cell>
          <cell r="B164" t="str">
            <v>2024257770032</v>
          </cell>
          <cell r="C164" t="str">
            <v>POR EL SUPATÁ SOÑADO AVANZAMOS JUNTOS EN LA LÍNEA ESTRATÉGICA INSTITUCIONAL</v>
          </cell>
          <cell r="D164" t="str">
            <v>DESARROLLO COMUNITARIO</v>
          </cell>
          <cell r="E164" t="str">
            <v xml:space="preserve">Efectuar 04 actividades encaminadas a reactivar y fortalecer los espacios de participación. </v>
          </cell>
        </row>
        <row r="165">
          <cell r="A165" t="str">
            <v>META-164</v>
          </cell>
          <cell r="B165" t="str">
            <v>2024257770032</v>
          </cell>
          <cell r="C165" t="str">
            <v>POR EL SUPATÁ SOÑADO AVANZAMOS JUNTOS EN LA LÍNEA ESTRATÉGICA INSTITUCIONAL</v>
          </cell>
          <cell r="D165" t="str">
            <v>DESARROLLO COMUNITARIO</v>
          </cell>
          <cell r="E165" t="str">
            <v>Realizar 04 capacitaciones para fortalecer las juntas de acción comunal.</v>
          </cell>
        </row>
        <row r="166">
          <cell r="A166" t="str">
            <v>META-165</v>
          </cell>
          <cell r="B166" t="str">
            <v>2024257770032</v>
          </cell>
          <cell r="C166" t="str">
            <v>POR EL SUPATÁ SOÑADO AVANZAMOS JUNTOS EN LA LÍNEA ESTRATÉGICA INSTITUCIONAL</v>
          </cell>
          <cell r="D166" t="str">
            <v>DESARROLLO COMUNITARIO</v>
          </cell>
          <cell r="E166" t="str">
            <v>Realizar 4 rendiciones de cuentas sobre la gestión de la administración municipal.</v>
          </cell>
        </row>
        <row r="167">
          <cell r="A167" t="str">
            <v>META-166</v>
          </cell>
          <cell r="B167" t="str">
            <v>2024257770032</v>
          </cell>
          <cell r="C167" t="str">
            <v>POR EL SUPATÁ SOÑADO AVANZAMOS JUNTOS EN LA LÍNEA ESTRATÉGICA INSTITUCIONAL</v>
          </cell>
          <cell r="D167" t="str">
            <v>DESARROLLO COMUNITARIO</v>
          </cell>
          <cell r="E167" t="str">
            <v>Promover 1 veeduría ciudadana como espacio garante de control social.</v>
          </cell>
        </row>
        <row r="168">
          <cell r="A168" t="str">
            <v>META-167</v>
          </cell>
          <cell r="B168" t="str">
            <v>2024257770033</v>
          </cell>
          <cell r="C168" t="str">
            <v>POR EL SUPATÁ SOÑADO AVANZAMOS JUNTOS EN LA LÍNEA ESTRATÉGICA INSTITUCIONAL</v>
          </cell>
          <cell r="D168" t="str">
            <v>DESARROLLO COMUNITARIO</v>
          </cell>
          <cell r="E168" t="str">
            <v>Actualizar el plan integral de convivencia ciudadana</v>
          </cell>
        </row>
        <row r="169">
          <cell r="A169" t="str">
            <v>META-168</v>
          </cell>
          <cell r="B169" t="str">
            <v>2024257770033</v>
          </cell>
          <cell r="C169" t="str">
            <v>POR EL SUPATÁ SOÑADO AVANZAMOS JUNTOS EN LA LÍNEA ESTRATÉGICA INSTITUCIONAL</v>
          </cell>
          <cell r="D169" t="str">
            <v>DESARROLLO COMUNITARIO</v>
          </cell>
          <cell r="E169" t="str">
            <v>Realizar (4) actividades que involucren temas de seguridad y colaboración.</v>
          </cell>
        </row>
        <row r="170">
          <cell r="A170" t="str">
            <v>META-169</v>
          </cell>
          <cell r="B170" t="str">
            <v>2024257770033</v>
          </cell>
          <cell r="C170" t="str">
            <v>POR EL SUPATÁ SOÑADO AVANZAMOS JUNTOS EN LA LÍNEA ESTRATÉGICA INSTITUCIONAL</v>
          </cell>
          <cell r="D170" t="str">
            <v>DESARROLLO COMUNITARIO</v>
          </cell>
          <cell r="E170" t="str">
            <v>Realizar 4 asistencias tecnicas sobre prevención a violaciones de derechos humanos</v>
          </cell>
        </row>
        <row r="171">
          <cell r="A171" t="str">
            <v>META-170</v>
          </cell>
          <cell r="B171" t="str">
            <v>202500000008932</v>
          </cell>
          <cell r="C171" t="str">
            <v>POR EL SUPATÁ SOÑADO AVANZAMOS JUNTOS EN LA LÍNEA ESTRATÉGICA INSTITUCIONAL</v>
          </cell>
          <cell r="D171" t="str">
            <v>TRABAJO</v>
          </cell>
          <cell r="E171" t="str">
            <v>Realizar 4 eventos sobre gestion de emprendimientos</v>
          </cell>
        </row>
        <row r="172">
          <cell r="A172" t="str">
            <v>META-171</v>
          </cell>
          <cell r="B172" t="str">
            <v>2024257770035</v>
          </cell>
          <cell r="C172" t="str">
            <v>POR EL SUPATÁ SOÑADO AVANZAMOS JUNTOS EN LA LÍNEA ESTRATÉGICA INSTITUCIONAL</v>
          </cell>
          <cell r="D172" t="str">
            <v>JUSTICIA Y SEGURIDAD CIUDADANA</v>
          </cell>
          <cell r="E172" t="str">
            <v>fortalecer el grupo interdisciplinario de la comisaria de familia para Garantizar, proteger, restablecer y reparar los derechos de los miembros de la familia sgp libre destinacion 135millones + 15 m pro justicia familiar estampilla todos los años</v>
          </cell>
        </row>
        <row r="173">
          <cell r="A173" t="str">
            <v>META-172</v>
          </cell>
          <cell r="B173" t="str">
            <v>2024257770035</v>
          </cell>
          <cell r="C173" t="str">
            <v>POR EL SUPATÁ SOÑADO AVANZAMOS JUNTOS EN LA LÍNEA ESTRATÉGICA INSTITUCIONAL</v>
          </cell>
          <cell r="D173" t="str">
            <v>JUSTICIA Y SEGURIDAD CIUDADANA</v>
          </cell>
          <cell r="E173" t="str">
            <v>Apoyar anualmente a la inspeccion de policia  90Millones SPG libre destinación todos los años auumentar 5% al año</v>
          </cell>
        </row>
        <row r="174">
          <cell r="A174" t="str">
            <v>META-173</v>
          </cell>
          <cell r="B174" t="str">
            <v>2024257770035</v>
          </cell>
          <cell r="C174" t="str">
            <v>POR EL SUPATÁ SOÑADO AVANZAMOS JUNTOS EN LA LÍNEA ESTRATÉGICA INSTITUCIONAL</v>
          </cell>
          <cell r="D174" t="str">
            <v>JUSTICIA Y SEGURIDAD CIUDADANA</v>
          </cell>
          <cell r="E174" t="str">
            <v xml:space="preserve">Realizar (1) acción para la implementación de herramientas tecnologicas de seguridad  CAMARAS DE VIGILANCIA </v>
          </cell>
        </row>
        <row r="175">
          <cell r="A175" t="str">
            <v>META-174</v>
          </cell>
          <cell r="B175" t="str">
            <v>2024257770035</v>
          </cell>
          <cell r="C175" t="str">
            <v>POR EL SUPATÁ SOÑADO AVANZAMOS JUNTOS EN LA LÍNEA ESTRATÉGICA INSTITUCIONAL</v>
          </cell>
          <cell r="D175" t="str">
            <v>JUSTICIA Y SEGURIDAD CIUDADANA</v>
          </cell>
          <cell r="E175" t="str">
            <v>Realizar 24 Consejos de Seguridad</v>
          </cell>
        </row>
        <row r="176">
          <cell r="A176" t="str">
            <v>META-175</v>
          </cell>
          <cell r="B176" t="str">
            <v>2024257770036</v>
          </cell>
          <cell r="C176" t="str">
            <v>POR EL SUPATÁ SOÑADO AVANZAMOS JUNTOS EN LA LÍNEA ESTRATÉGICA INSTITUCIONAL</v>
          </cell>
          <cell r="D176" t="str">
            <v>JUSTICIA Y SEGURIDAD CIUDADANA</v>
          </cell>
          <cell r="E176" t="str">
            <v>Realizar cuatro (4) campañas para la prevención en material penal</v>
          </cell>
        </row>
        <row r="177">
          <cell r="A177" t="str">
            <v>META-176</v>
          </cell>
          <cell r="B177" t="str">
            <v>202500000008965</v>
          </cell>
          <cell r="C177" t="str">
            <v>POR EL SUPATÁ SOÑADO AVANZAMOS JUNTOS EN LA LÍNEA ESTRATÉGICA INSTITUCIONAL</v>
          </cell>
          <cell r="D177" t="str">
            <v>JUSTICIA Y SEGURIDAD CIUDADANA</v>
          </cell>
          <cell r="E177" t="str">
            <v>Garantizar anualmente el suministro de alimentación a las personas privadas de la libertad</v>
          </cell>
        </row>
        <row r="178">
          <cell r="A178" t="str">
            <v>META-177</v>
          </cell>
          <cell r="B178" t="str">
            <v>202500000008965</v>
          </cell>
          <cell r="C178" t="str">
            <v>POR EL SUPATÁ SOÑADO AVANZAMOS JUNTOS EN LA LÍNEA ESTRATÉGICA INSTITUCIONAL</v>
          </cell>
          <cell r="D178" t="str">
            <v>JUSTICIA Y SEGURIDAD CIUDADANA</v>
          </cell>
          <cell r="E178" t="str">
            <v>Fortalecer anualmente el funcionamiento de las fuerzas publicas con los recursos del fonde de seguridad</v>
          </cell>
        </row>
        <row r="179">
          <cell r="A179" t="str">
            <v>META-178</v>
          </cell>
          <cell r="B179" t="str">
            <v>202500000008965</v>
          </cell>
          <cell r="C179" t="str">
            <v>POR EL SUPATÁ SOÑADO AVANZAMOS JUNTOS EN LA LÍNEA ESTRATÉGICA INSTITUCIONAL</v>
          </cell>
          <cell r="D179" t="str">
            <v>JUSTICIA Y SEGURIDAD CIUDADANA</v>
          </cell>
          <cell r="E179" t="str">
            <v>Realizar (1) convenio anual con el Inpec de conformidad con los lineamientos establecidos de la ley 10 millones sgp libre inversion</v>
          </cell>
        </row>
        <row r="180">
          <cell r="A180" t="str">
            <v>META-179</v>
          </cell>
          <cell r="B180" t="str">
            <v>2024257770038</v>
          </cell>
          <cell r="C180" t="str">
            <v>POR EL SUPATÁ SOÑADO AVANZAMOS JUNTOS EN LA LÍNEA ESTRATÉGICA AMBIENTAL</v>
          </cell>
          <cell r="D180" t="str">
            <v>SERVICIOS DIFERENTES APSB</v>
          </cell>
          <cell r="E180" t="str">
            <v>Realizar la ampliación del sistema de alumbrado publico</v>
          </cell>
        </row>
        <row r="181">
          <cell r="A181" t="str">
            <v>META-180</v>
          </cell>
          <cell r="B181" t="str">
            <v>2024257770038</v>
          </cell>
          <cell r="C181" t="str">
            <v>POR EL SUPATÁ SOÑADO AVANZAMOS JUNTOS EN LA LÍNEA ESTRATÉGICA AMBIENTAL</v>
          </cell>
          <cell r="D181" t="str">
            <v>SERVICIOS DIFERENTES APSB</v>
          </cell>
          <cell r="E181" t="str">
            <v>Garantizar el optimo funcionamiento del sistema de alummbrado público</v>
          </cell>
        </row>
        <row r="182">
          <cell r="A182" t="str">
            <v>META-181</v>
          </cell>
          <cell r="B182" t="str">
            <v>2024257770038</v>
          </cell>
          <cell r="C182" t="str">
            <v>POR EL SUPATÁ SOÑADO AVANZAMOS JUNTOS EN LA LÍNEA ESTRATÉGICA AMBIENTAL</v>
          </cell>
          <cell r="D182" t="str">
            <v>SERVICIOS DIFERENTES APSB</v>
          </cell>
          <cell r="E182" t="str">
            <v>Realizar anualmente los pagos de servicio de alumbrado público</v>
          </cell>
        </row>
        <row r="183">
          <cell r="A183" t="str">
            <v>META-182</v>
          </cell>
          <cell r="B183" t="str">
            <v>2024257770038</v>
          </cell>
          <cell r="C183" t="str">
            <v>POR EL SUPATÁ SOÑADO AVANZAMOS JUNTOS EN LA LÍNEA ESTRATÉGICA AMBIENTAL</v>
          </cell>
          <cell r="D183" t="str">
            <v>SERVICIOS DIFERENTES APSB</v>
          </cell>
          <cell r="E183" t="str">
            <v>Realizar un (1) estudio tecnico del servicio de Alumbrado Público</v>
          </cell>
        </row>
        <row r="184">
          <cell r="A184" t="str">
            <v>META-183</v>
          </cell>
          <cell r="B184" t="str">
            <v>2024257770038</v>
          </cell>
          <cell r="C184" t="str">
            <v>POR EL SUPATÁ SOÑADO AVANZAMOS JUNTOS EN LA LÍNEA ESTRATÉGICA AMBIENTAL</v>
          </cell>
          <cell r="D184" t="str">
            <v>SERVICIOS DIFERENTES APSB</v>
          </cell>
          <cell r="E184" t="str">
            <v>gestionar la implementación de energías alternativas</v>
          </cell>
        </row>
        <row r="185">
          <cell r="A185" t="str">
            <v>META-184</v>
          </cell>
          <cell r="B185" t="str">
            <v>2024257770039</v>
          </cell>
          <cell r="C185" t="str">
            <v>POR EL SUPATÁ SOÑADO AVANZAMOS JUNTOS EN LA LÍNEA ESTRATÉGICA AMBIENTAL</v>
          </cell>
          <cell r="D185" t="str">
            <v>SERVICIOS DIFERENTES APSB</v>
          </cell>
          <cell r="E185" t="str">
            <v>Ampliar beneficiarios del servicio de gas</v>
          </cell>
        </row>
        <row r="186">
          <cell r="A186" t="str">
            <v>META-185</v>
          </cell>
          <cell r="B186" t="str">
            <v>202500000008969</v>
          </cell>
          <cell r="C186" t="str">
            <v>POR EL SUPATÁ SOÑADO AVANZAMOS JUNTOS EN LA LÍNEA ESTRATÉGICA AMBIENTAL</v>
          </cell>
          <cell r="D186" t="str">
            <v>AMBIENTE</v>
          </cell>
          <cell r="E186" t="str">
            <v>Adelantar acciones para la implementación del plan de adaptación al cambio climático</v>
          </cell>
        </row>
        <row r="187">
          <cell r="A187" t="str">
            <v>META-186</v>
          </cell>
          <cell r="B187" t="str">
            <v>202500000008969</v>
          </cell>
          <cell r="C187" t="str">
            <v>POR EL SUPATÁ SOÑADO AVANZAMOS JUNTOS EN LA LÍNEA ESTRATÉGICA AMBIENTAL</v>
          </cell>
          <cell r="D187" t="str">
            <v>AMBIENTE</v>
          </cell>
          <cell r="E187" t="str">
            <v>Realizar 4 campañas que aporten a la disminución de contaminantes por residuos solidos.</v>
          </cell>
        </row>
        <row r="188">
          <cell r="A188" t="str">
            <v>META-187</v>
          </cell>
          <cell r="B188" t="str">
            <v>202500000008969</v>
          </cell>
          <cell r="C188" t="str">
            <v>POR EL SUPATÁ SOÑADO AVANZAMOS JUNTOS EN LA LÍNEA ESTRATÉGICA AMBIENTAL</v>
          </cell>
          <cell r="D188" t="str">
            <v>AMBIENTE</v>
          </cell>
          <cell r="E188" t="str">
            <v>Realizar el calculo de la huella de carbono del palacio municipal</v>
          </cell>
        </row>
        <row r="189">
          <cell r="A189" t="str">
            <v>META-188</v>
          </cell>
          <cell r="B189" t="str">
            <v>202500000009590</v>
          </cell>
          <cell r="C189" t="str">
            <v>POR EL SUPATÁ SOÑADO AVANZAMOS JUNTOS EN LA LÍNEA ESTRATÉGICA AMBIENTAL</v>
          </cell>
          <cell r="D189" t="str">
            <v>AMBIENTE</v>
          </cell>
          <cell r="E189" t="str">
            <v>Adoptar el 50% de las metas de la política de educación ambiental propuesta por las Corporaciones autónomas regionales en cada territorio</v>
          </cell>
        </row>
        <row r="190">
          <cell r="A190" t="str">
            <v>META-189</v>
          </cell>
          <cell r="B190" t="str">
            <v>202500000009590</v>
          </cell>
          <cell r="C190" t="str">
            <v>POR EL SUPATÁ SOÑADO AVANZAMOS JUNTOS EN LA LÍNEA ESTRATÉGICA AMBIENTAL</v>
          </cell>
          <cell r="D190" t="str">
            <v>AMBIENTE</v>
          </cell>
          <cell r="E190" t="str">
            <v>Implementar 4 capacitaciones y/o talleres con estrategias hacia la educación ambiental y sensibilización hacia el cuidado de los recursos hidricos</v>
          </cell>
        </row>
        <row r="191">
          <cell r="A191" t="str">
            <v>META-190</v>
          </cell>
          <cell r="B191" t="str">
            <v>202500000009587</v>
          </cell>
          <cell r="C191" t="str">
            <v>POR EL SUPATÁ SOÑADO AVANZAMOS JUNTOS EN LA LÍNEA ESTRATÉGICA AMBIENTAL</v>
          </cell>
          <cell r="D191" t="str">
            <v>AMBIENTE</v>
          </cell>
          <cell r="E191" t="str">
            <v xml:space="preserve">Implementar la política pública de bienestar animal </v>
          </cell>
        </row>
        <row r="192">
          <cell r="A192" t="str">
            <v>META-191</v>
          </cell>
          <cell r="B192" t="str">
            <v>202500000009587</v>
          </cell>
          <cell r="C192" t="str">
            <v>POR EL SUPATÁ SOÑADO AVANZAMOS JUNTOS EN LA LÍNEA ESTRATÉGICA AMBIENTAL</v>
          </cell>
          <cell r="D192" t="str">
            <v>AMBIENTE</v>
          </cell>
          <cell r="E192" t="str">
            <v>Realizar (4) jornadas de reforestación y cultura ambiental</v>
          </cell>
        </row>
        <row r="193">
          <cell r="A193" t="str">
            <v>META-192</v>
          </cell>
          <cell r="B193" t="str">
            <v>202500000009587</v>
          </cell>
          <cell r="C193" t="str">
            <v>POR EL SUPATÁ SOÑADO AVANZAMOS JUNTOS EN LA LÍNEA ESTRATÉGICA AMBIENTAL</v>
          </cell>
          <cell r="D193" t="str">
            <v>AMBIENTE</v>
          </cell>
          <cell r="E193" t="str">
            <v>Incentivar el pago por servicios ambientales</v>
          </cell>
        </row>
        <row r="194">
          <cell r="A194" t="str">
            <v>META-193</v>
          </cell>
          <cell r="B194" t="str">
            <v>202500000009587</v>
          </cell>
          <cell r="C194" t="str">
            <v>POR EL SUPATÁ SOÑADO AVANZAMOS JUNTOS EN LA LÍNEA ESTRATÉGICA AMBIENTAL</v>
          </cell>
          <cell r="D194" t="str">
            <v>AMBIENTE</v>
          </cell>
          <cell r="E194" t="str">
            <v>Reactivar la junta defensora de animales</v>
          </cell>
        </row>
        <row r="195">
          <cell r="A195" t="str">
            <v>META-194</v>
          </cell>
          <cell r="B195" t="str">
            <v>202500000009587</v>
          </cell>
          <cell r="C195" t="str">
            <v>POR EL SUPATÁ SOÑADO AVANZAMOS JUNTOS EN LA LÍNEA ESTRATÉGICA AMBIENTAL</v>
          </cell>
          <cell r="D195" t="str">
            <v>AMBIENTE</v>
          </cell>
          <cell r="E195" t="str">
            <v>Realizar 4 campañas de prevención de la deforestació, el manejo forestal, seguimiento de reforestación y el aprovechamiento sostenible de los recursos naturales hídricos y forestales.</v>
          </cell>
        </row>
        <row r="196">
          <cell r="A196" t="str">
            <v>META-195</v>
          </cell>
          <cell r="B196" t="str">
            <v>2024257770043</v>
          </cell>
          <cell r="C196" t="str">
            <v>POR EL SUPATÁ SOÑADO AVANZAMOS JUNTOS EN LA LÍNEA ESTRATÉGICA AMBIENTAL</v>
          </cell>
          <cell r="D196" t="str">
            <v>AMBIENTE</v>
          </cell>
          <cell r="E196" t="str">
            <v>Adquirir (1) predio de importancia hídrica</v>
          </cell>
        </row>
        <row r="197">
          <cell r="A197" t="str">
            <v>META-196</v>
          </cell>
          <cell r="B197" t="str">
            <v>2024257770043</v>
          </cell>
          <cell r="C197" t="str">
            <v>POR EL SUPATÁ SOÑADO AVANZAMOS JUNTOS EN LA LÍNEA ESTRATÉGICA AMBIENTAL</v>
          </cell>
          <cell r="D197" t="str">
            <v>AMBIENTE</v>
          </cell>
          <cell r="E197" t="str">
            <v>Adaptar un (1) espacio ecologico en las instituciones educativas para reducir las emisiones de GEI en el municipio.</v>
          </cell>
        </row>
        <row r="198">
          <cell r="A198" t="str">
            <v>META-197</v>
          </cell>
          <cell r="B198" t="str">
            <v>2024257770043</v>
          </cell>
          <cell r="C198" t="str">
            <v>POR EL SUPATÁ SOÑADO AVANZAMOS JUNTOS EN LA LÍNEA ESTRATÉGICA AMBIENTAL</v>
          </cell>
          <cell r="D198" t="str">
            <v>AMBIENTE</v>
          </cell>
          <cell r="E198" t="str">
            <v>Elaborar un (1) Plan de Uso Eficiente y Ahorro del Agua – PUEAA</v>
          </cell>
        </row>
        <row r="199">
          <cell r="A199" t="str">
            <v>META-198</v>
          </cell>
          <cell r="B199" t="str">
            <v>202500000009063</v>
          </cell>
          <cell r="C199" t="str">
            <v>POR EL SUPATÁ SOÑADO AVANZAMOS JUNTOS EN LA LÍNEA ESTRATÉGICA AMBIENTAL</v>
          </cell>
          <cell r="D199" t="str">
            <v>AMBIENTE</v>
          </cell>
          <cell r="E199" t="str">
            <v>apoyar la implementación anual de los proyectos ambientales escolares PRAES</v>
          </cell>
        </row>
      </sheetData>
      <sheetData sheetId="2"/>
      <sheetData sheetId="3"/>
      <sheetData sheetId="4"/>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1"/>
  <sheetViews>
    <sheetView workbookViewId="0">
      <selection activeCell="B7" sqref="B7"/>
    </sheetView>
  </sheetViews>
  <sheetFormatPr baseColWidth="10" defaultColWidth="8.85546875" defaultRowHeight="15" x14ac:dyDescent="0.25"/>
  <cols>
    <col min="1" max="1" width="28" customWidth="1"/>
    <col min="2" max="2" width="110" customWidth="1"/>
  </cols>
  <sheetData>
    <row r="1" spans="1:2" ht="18.75" x14ac:dyDescent="0.3">
      <c r="A1" s="1" t="s">
        <v>0</v>
      </c>
    </row>
    <row r="3" spans="1:2" ht="30" x14ac:dyDescent="0.25">
      <c r="A3" s="2" t="s">
        <v>1</v>
      </c>
      <c r="B3" s="3" t="s">
        <v>528</v>
      </c>
    </row>
    <row r="5" spans="1:2" x14ac:dyDescent="0.25">
      <c r="A5" s="2" t="s">
        <v>2</v>
      </c>
      <c r="B5" s="3" t="s">
        <v>3</v>
      </c>
    </row>
    <row r="7" spans="1:2" ht="94.9" customHeight="1" x14ac:dyDescent="0.25">
      <c r="A7" s="2" t="s">
        <v>4</v>
      </c>
      <c r="B7" s="3" t="s">
        <v>5</v>
      </c>
    </row>
    <row r="9" spans="1:2" ht="30" x14ac:dyDescent="0.25">
      <c r="A9" s="2" t="s">
        <v>6</v>
      </c>
      <c r="B9" s="3" t="s">
        <v>7</v>
      </c>
    </row>
    <row r="11" spans="1:2" x14ac:dyDescent="0.25">
      <c r="A11" s="2" t="s">
        <v>8</v>
      </c>
      <c r="B11" s="3" t="s">
        <v>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99"/>
  <sheetViews>
    <sheetView workbookViewId="0">
      <pane ySplit="1" topLeftCell="A83" activePane="bottomLeft" state="frozen"/>
      <selection pane="bottomLeft" activeCell="A87" sqref="A87"/>
    </sheetView>
  </sheetViews>
  <sheetFormatPr baseColWidth="10" defaultColWidth="8.85546875" defaultRowHeight="15" x14ac:dyDescent="0.25"/>
  <cols>
    <col min="1" max="1" width="10" customWidth="1"/>
    <col min="2" max="2" width="17" customWidth="1"/>
    <col min="3" max="5" width="70" customWidth="1"/>
    <col min="6" max="6" width="17" customWidth="1"/>
    <col min="7" max="7" width="10" customWidth="1"/>
  </cols>
  <sheetData>
    <row r="1" spans="1:7" ht="30" x14ac:dyDescent="0.25">
      <c r="A1" s="4" t="s">
        <v>10</v>
      </c>
      <c r="B1" s="4" t="s">
        <v>11</v>
      </c>
      <c r="C1" s="4" t="s">
        <v>12</v>
      </c>
      <c r="D1" s="4" t="s">
        <v>13</v>
      </c>
      <c r="E1" s="4" t="s">
        <v>14</v>
      </c>
      <c r="F1" s="4" t="s">
        <v>15</v>
      </c>
      <c r="G1" s="4" t="s">
        <v>16</v>
      </c>
    </row>
    <row r="2" spans="1:7" ht="45" x14ac:dyDescent="0.25">
      <c r="A2" s="5" t="s">
        <v>17</v>
      </c>
      <c r="B2" s="5" t="s">
        <v>18</v>
      </c>
      <c r="C2" s="5" t="s">
        <v>19</v>
      </c>
      <c r="D2" s="5" t="s">
        <v>20</v>
      </c>
      <c r="E2" s="5" t="s">
        <v>21</v>
      </c>
      <c r="F2" s="5"/>
      <c r="G2" s="5"/>
    </row>
    <row r="3" spans="1:7" ht="30" x14ac:dyDescent="0.25">
      <c r="A3" s="5" t="s">
        <v>22</v>
      </c>
      <c r="B3" s="5" t="s">
        <v>18</v>
      </c>
      <c r="C3" s="5" t="s">
        <v>19</v>
      </c>
      <c r="D3" s="5" t="s">
        <v>20</v>
      </c>
      <c r="E3" s="5" t="s">
        <v>23</v>
      </c>
      <c r="F3" s="5"/>
      <c r="G3" s="5"/>
    </row>
    <row r="4" spans="1:7" ht="30" x14ac:dyDescent="0.25">
      <c r="A4" s="5" t="s">
        <v>24</v>
      </c>
      <c r="B4" s="5" t="s">
        <v>18</v>
      </c>
      <c r="C4" s="5" t="s">
        <v>19</v>
      </c>
      <c r="D4" s="5" t="s">
        <v>20</v>
      </c>
      <c r="E4" s="5" t="s">
        <v>25</v>
      </c>
      <c r="F4" s="5"/>
      <c r="G4" s="5"/>
    </row>
    <row r="5" spans="1:7" ht="30" x14ac:dyDescent="0.25">
      <c r="A5" s="5" t="s">
        <v>26</v>
      </c>
      <c r="B5" s="5" t="s">
        <v>18</v>
      </c>
      <c r="C5" s="5" t="s">
        <v>19</v>
      </c>
      <c r="D5" s="5" t="s">
        <v>20</v>
      </c>
      <c r="E5" s="5" t="s">
        <v>27</v>
      </c>
      <c r="F5" s="5"/>
      <c r="G5" s="5"/>
    </row>
    <row r="6" spans="1:7" ht="30" x14ac:dyDescent="0.25">
      <c r="A6" s="5" t="s">
        <v>28</v>
      </c>
      <c r="B6" s="5" t="s">
        <v>29</v>
      </c>
      <c r="C6" s="5" t="s">
        <v>19</v>
      </c>
      <c r="D6" s="5" t="s">
        <v>20</v>
      </c>
      <c r="E6" s="5" t="s">
        <v>30</v>
      </c>
      <c r="F6" s="5"/>
      <c r="G6" s="5"/>
    </row>
    <row r="7" spans="1:7" ht="30" x14ac:dyDescent="0.25">
      <c r="A7" s="5" t="s">
        <v>31</v>
      </c>
      <c r="B7" s="5" t="s">
        <v>29</v>
      </c>
      <c r="C7" s="5" t="s">
        <v>19</v>
      </c>
      <c r="D7" s="5" t="s">
        <v>20</v>
      </c>
      <c r="E7" s="5" t="s">
        <v>32</v>
      </c>
      <c r="F7" s="5"/>
      <c r="G7" s="5"/>
    </row>
    <row r="8" spans="1:7" ht="30" x14ac:dyDescent="0.25">
      <c r="A8" s="5" t="s">
        <v>33</v>
      </c>
      <c r="B8" s="5" t="s">
        <v>34</v>
      </c>
      <c r="C8" s="5" t="s">
        <v>19</v>
      </c>
      <c r="D8" s="5" t="s">
        <v>20</v>
      </c>
      <c r="E8" s="5" t="s">
        <v>35</v>
      </c>
      <c r="F8" s="5"/>
      <c r="G8" s="5"/>
    </row>
    <row r="9" spans="1:7" ht="45" x14ac:dyDescent="0.25">
      <c r="A9" s="5" t="s">
        <v>36</v>
      </c>
      <c r="B9" s="5" t="s">
        <v>34</v>
      </c>
      <c r="C9" s="5" t="s">
        <v>19</v>
      </c>
      <c r="D9" s="5" t="s">
        <v>20</v>
      </c>
      <c r="E9" s="5" t="s">
        <v>37</v>
      </c>
      <c r="F9" s="5"/>
      <c r="G9" s="5"/>
    </row>
    <row r="10" spans="1:7" ht="30" x14ac:dyDescent="0.25">
      <c r="A10" s="5" t="s">
        <v>38</v>
      </c>
      <c r="B10" s="5" t="s">
        <v>34</v>
      </c>
      <c r="C10" s="5" t="s">
        <v>19</v>
      </c>
      <c r="D10" s="5" t="s">
        <v>20</v>
      </c>
      <c r="E10" s="5" t="s">
        <v>39</v>
      </c>
      <c r="F10" s="5"/>
      <c r="G10" s="5"/>
    </row>
    <row r="11" spans="1:7" ht="30" x14ac:dyDescent="0.25">
      <c r="A11" s="5" t="s">
        <v>40</v>
      </c>
      <c r="B11" s="5" t="s">
        <v>41</v>
      </c>
      <c r="C11" s="5" t="s">
        <v>19</v>
      </c>
      <c r="D11" s="5" t="s">
        <v>42</v>
      </c>
      <c r="E11" s="5" t="s">
        <v>43</v>
      </c>
      <c r="F11" s="5"/>
      <c r="G11" s="5"/>
    </row>
    <row r="12" spans="1:7" ht="30" x14ac:dyDescent="0.25">
      <c r="A12" s="5" t="s">
        <v>44</v>
      </c>
      <c r="B12" s="5" t="s">
        <v>41</v>
      </c>
      <c r="C12" s="5" t="s">
        <v>19</v>
      </c>
      <c r="D12" s="5" t="s">
        <v>42</v>
      </c>
      <c r="E12" s="5" t="s">
        <v>45</v>
      </c>
      <c r="F12" s="5"/>
      <c r="G12" s="5"/>
    </row>
    <row r="13" spans="1:7" ht="60" x14ac:dyDescent="0.25">
      <c r="A13" s="5" t="s">
        <v>46</v>
      </c>
      <c r="B13" s="5" t="s">
        <v>41</v>
      </c>
      <c r="C13" s="5" t="s">
        <v>19</v>
      </c>
      <c r="D13" s="5" t="s">
        <v>42</v>
      </c>
      <c r="E13" s="5" t="s">
        <v>47</v>
      </c>
      <c r="F13" s="5"/>
      <c r="G13" s="5"/>
    </row>
    <row r="14" spans="1:7" ht="75" x14ac:dyDescent="0.25">
      <c r="A14" s="5" t="s">
        <v>48</v>
      </c>
      <c r="B14" s="5" t="s">
        <v>41</v>
      </c>
      <c r="C14" s="5" t="s">
        <v>19</v>
      </c>
      <c r="D14" s="5" t="s">
        <v>42</v>
      </c>
      <c r="E14" s="5" t="s">
        <v>49</v>
      </c>
      <c r="F14" s="5"/>
      <c r="G14" s="5"/>
    </row>
    <row r="15" spans="1:7" ht="45" x14ac:dyDescent="0.25">
      <c r="A15" s="5" t="s">
        <v>50</v>
      </c>
      <c r="B15" s="5" t="s">
        <v>41</v>
      </c>
      <c r="C15" s="5" t="s">
        <v>19</v>
      </c>
      <c r="D15" s="5" t="s">
        <v>42</v>
      </c>
      <c r="E15" s="5" t="s">
        <v>51</v>
      </c>
      <c r="F15" s="5"/>
      <c r="G15" s="5"/>
    </row>
    <row r="16" spans="1:7" ht="30" x14ac:dyDescent="0.25">
      <c r="A16" s="5" t="s">
        <v>52</v>
      </c>
      <c r="B16" s="5" t="s">
        <v>41</v>
      </c>
      <c r="C16" s="5" t="s">
        <v>19</v>
      </c>
      <c r="D16" s="5" t="s">
        <v>42</v>
      </c>
      <c r="E16" s="5" t="s">
        <v>53</v>
      </c>
      <c r="F16" s="5"/>
      <c r="G16" s="5"/>
    </row>
    <row r="17" spans="1:7" ht="60" x14ac:dyDescent="0.25">
      <c r="A17" s="5" t="s">
        <v>54</v>
      </c>
      <c r="B17" s="5" t="s">
        <v>41</v>
      </c>
      <c r="C17" s="5" t="s">
        <v>19</v>
      </c>
      <c r="D17" s="5" t="s">
        <v>42</v>
      </c>
      <c r="E17" s="5" t="s">
        <v>55</v>
      </c>
      <c r="F17" s="5"/>
      <c r="G17" s="5"/>
    </row>
    <row r="18" spans="1:7" ht="60" x14ac:dyDescent="0.25">
      <c r="A18" s="5" t="s">
        <v>56</v>
      </c>
      <c r="B18" s="5" t="s">
        <v>41</v>
      </c>
      <c r="C18" s="5" t="s">
        <v>19</v>
      </c>
      <c r="D18" s="5" t="s">
        <v>42</v>
      </c>
      <c r="E18" s="5" t="s">
        <v>57</v>
      </c>
      <c r="F18" s="5"/>
      <c r="G18" s="5"/>
    </row>
    <row r="19" spans="1:7" ht="30" x14ac:dyDescent="0.25">
      <c r="A19" s="5" t="s">
        <v>58</v>
      </c>
      <c r="B19" s="5" t="s">
        <v>41</v>
      </c>
      <c r="C19" s="5" t="s">
        <v>19</v>
      </c>
      <c r="D19" s="5" t="s">
        <v>42</v>
      </c>
      <c r="E19" s="5" t="s">
        <v>59</v>
      </c>
      <c r="F19" s="5"/>
      <c r="G19" s="5"/>
    </row>
    <row r="20" spans="1:7" ht="45" x14ac:dyDescent="0.25">
      <c r="A20" s="5" t="s">
        <v>60</v>
      </c>
      <c r="B20" s="5" t="s">
        <v>41</v>
      </c>
      <c r="C20" s="5" t="s">
        <v>19</v>
      </c>
      <c r="D20" s="5" t="s">
        <v>42</v>
      </c>
      <c r="E20" s="5" t="s">
        <v>61</v>
      </c>
      <c r="F20" s="5"/>
      <c r="G20" s="5"/>
    </row>
    <row r="21" spans="1:7" ht="30" x14ac:dyDescent="0.25">
      <c r="A21" s="5" t="s">
        <v>62</v>
      </c>
      <c r="B21" s="5" t="s">
        <v>41</v>
      </c>
      <c r="C21" s="5" t="s">
        <v>19</v>
      </c>
      <c r="D21" s="5" t="s">
        <v>42</v>
      </c>
      <c r="E21" s="5" t="s">
        <v>63</v>
      </c>
      <c r="F21" s="5"/>
      <c r="G21" s="5"/>
    </row>
    <row r="22" spans="1:7" ht="45" x14ac:dyDescent="0.25">
      <c r="A22" s="5" t="s">
        <v>64</v>
      </c>
      <c r="B22" s="5" t="s">
        <v>41</v>
      </c>
      <c r="C22" s="5" t="s">
        <v>19</v>
      </c>
      <c r="D22" s="5" t="s">
        <v>42</v>
      </c>
      <c r="E22" s="5" t="s">
        <v>65</v>
      </c>
      <c r="F22" s="5"/>
      <c r="G22" s="5"/>
    </row>
    <row r="23" spans="1:7" ht="45" x14ac:dyDescent="0.25">
      <c r="A23" s="5" t="s">
        <v>66</v>
      </c>
      <c r="B23" s="5" t="s">
        <v>41</v>
      </c>
      <c r="C23" s="5" t="s">
        <v>19</v>
      </c>
      <c r="D23" s="5" t="s">
        <v>42</v>
      </c>
      <c r="E23" s="5" t="s">
        <v>67</v>
      </c>
      <c r="F23" s="5"/>
      <c r="G23" s="5"/>
    </row>
    <row r="24" spans="1:7" ht="30" x14ac:dyDescent="0.25">
      <c r="A24" s="5" t="s">
        <v>68</v>
      </c>
      <c r="B24" s="5" t="s">
        <v>41</v>
      </c>
      <c r="C24" s="5" t="s">
        <v>19</v>
      </c>
      <c r="D24" s="5" t="s">
        <v>42</v>
      </c>
      <c r="E24" s="5" t="s">
        <v>69</v>
      </c>
      <c r="F24" s="5"/>
      <c r="G24" s="5"/>
    </row>
    <row r="25" spans="1:7" ht="30" x14ac:dyDescent="0.25">
      <c r="A25" s="5" t="s">
        <v>70</v>
      </c>
      <c r="B25" s="5" t="s">
        <v>41</v>
      </c>
      <c r="C25" s="5" t="s">
        <v>19</v>
      </c>
      <c r="D25" s="5" t="s">
        <v>42</v>
      </c>
      <c r="E25" s="5" t="s">
        <v>71</v>
      </c>
      <c r="F25" s="5"/>
      <c r="G25" s="5"/>
    </row>
    <row r="26" spans="1:7" ht="45" x14ac:dyDescent="0.25">
      <c r="A26" s="5" t="s">
        <v>72</v>
      </c>
      <c r="B26" s="5" t="s">
        <v>41</v>
      </c>
      <c r="C26" s="5" t="s">
        <v>19</v>
      </c>
      <c r="D26" s="5" t="s">
        <v>42</v>
      </c>
      <c r="E26" s="5" t="s">
        <v>73</v>
      </c>
      <c r="F26" s="5"/>
      <c r="G26" s="5"/>
    </row>
    <row r="27" spans="1:7" ht="45" x14ac:dyDescent="0.25">
      <c r="A27" s="5" t="s">
        <v>74</v>
      </c>
      <c r="B27" s="5" t="s">
        <v>41</v>
      </c>
      <c r="C27" s="5" t="s">
        <v>19</v>
      </c>
      <c r="D27" s="5" t="s">
        <v>42</v>
      </c>
      <c r="E27" s="5" t="s">
        <v>75</v>
      </c>
      <c r="F27" s="5"/>
      <c r="G27" s="5"/>
    </row>
    <row r="28" spans="1:7" ht="30" x14ac:dyDescent="0.25">
      <c r="A28" s="5" t="s">
        <v>76</v>
      </c>
      <c r="B28" s="5" t="s">
        <v>41</v>
      </c>
      <c r="C28" s="5" t="s">
        <v>19</v>
      </c>
      <c r="D28" s="5" t="s">
        <v>42</v>
      </c>
      <c r="E28" s="5" t="s">
        <v>77</v>
      </c>
      <c r="F28" s="5"/>
      <c r="G28" s="5"/>
    </row>
    <row r="29" spans="1:7" ht="30" x14ac:dyDescent="0.25">
      <c r="A29" s="5" t="s">
        <v>78</v>
      </c>
      <c r="B29" s="5" t="s">
        <v>41</v>
      </c>
      <c r="C29" s="5" t="s">
        <v>19</v>
      </c>
      <c r="D29" s="5" t="s">
        <v>42</v>
      </c>
      <c r="E29" s="5" t="s">
        <v>79</v>
      </c>
      <c r="F29" s="5"/>
      <c r="G29" s="5"/>
    </row>
    <row r="30" spans="1:7" ht="30" x14ac:dyDescent="0.25">
      <c r="A30" s="5" t="s">
        <v>80</v>
      </c>
      <c r="B30" s="5" t="s">
        <v>81</v>
      </c>
      <c r="C30" s="5" t="s">
        <v>19</v>
      </c>
      <c r="D30" s="5" t="s">
        <v>42</v>
      </c>
      <c r="E30" s="5" t="s">
        <v>82</v>
      </c>
      <c r="F30" s="5"/>
      <c r="G30" s="5"/>
    </row>
    <row r="31" spans="1:7" ht="30" x14ac:dyDescent="0.25">
      <c r="A31" s="5" t="s">
        <v>83</v>
      </c>
      <c r="B31" s="5" t="s">
        <v>81</v>
      </c>
      <c r="C31" s="5" t="s">
        <v>19</v>
      </c>
      <c r="D31" s="5" t="s">
        <v>42</v>
      </c>
      <c r="E31" s="5" t="s">
        <v>84</v>
      </c>
      <c r="F31" s="5"/>
      <c r="G31" s="5"/>
    </row>
    <row r="32" spans="1:7" ht="30" x14ac:dyDescent="0.25">
      <c r="A32" s="5" t="s">
        <v>85</v>
      </c>
      <c r="B32" s="5" t="s">
        <v>81</v>
      </c>
      <c r="C32" s="5" t="s">
        <v>19</v>
      </c>
      <c r="D32" s="5" t="s">
        <v>42</v>
      </c>
      <c r="E32" s="5" t="s">
        <v>86</v>
      </c>
      <c r="F32" s="5"/>
      <c r="G32" s="5"/>
    </row>
    <row r="33" spans="1:7" ht="30" x14ac:dyDescent="0.25">
      <c r="A33" s="5" t="s">
        <v>87</v>
      </c>
      <c r="B33" s="5" t="s">
        <v>88</v>
      </c>
      <c r="C33" s="5" t="s">
        <v>19</v>
      </c>
      <c r="D33" s="5" t="s">
        <v>42</v>
      </c>
      <c r="E33" s="5" t="s">
        <v>89</v>
      </c>
      <c r="F33" s="5"/>
      <c r="G33" s="5"/>
    </row>
    <row r="34" spans="1:7" ht="30" x14ac:dyDescent="0.25">
      <c r="A34" s="5" t="s">
        <v>90</v>
      </c>
      <c r="B34" s="5" t="s">
        <v>91</v>
      </c>
      <c r="C34" s="5" t="s">
        <v>19</v>
      </c>
      <c r="D34" s="5" t="s">
        <v>92</v>
      </c>
      <c r="E34" s="5" t="s">
        <v>93</v>
      </c>
      <c r="F34" s="5"/>
      <c r="G34" s="5"/>
    </row>
    <row r="35" spans="1:7" ht="30" x14ac:dyDescent="0.25">
      <c r="A35" s="5" t="s">
        <v>94</v>
      </c>
      <c r="B35" s="5" t="s">
        <v>91</v>
      </c>
      <c r="C35" s="5" t="s">
        <v>19</v>
      </c>
      <c r="D35" s="5" t="s">
        <v>92</v>
      </c>
      <c r="E35" s="5" t="s">
        <v>95</v>
      </c>
      <c r="F35" s="5"/>
      <c r="G35" s="5"/>
    </row>
    <row r="36" spans="1:7" ht="30" x14ac:dyDescent="0.25">
      <c r="A36" s="5" t="s">
        <v>96</v>
      </c>
      <c r="B36" s="5" t="s">
        <v>91</v>
      </c>
      <c r="C36" s="5" t="s">
        <v>19</v>
      </c>
      <c r="D36" s="5" t="s">
        <v>92</v>
      </c>
      <c r="E36" s="5" t="s">
        <v>97</v>
      </c>
      <c r="F36" s="5"/>
      <c r="G36" s="5"/>
    </row>
    <row r="37" spans="1:7" ht="30" x14ac:dyDescent="0.25">
      <c r="A37" s="5" t="s">
        <v>98</v>
      </c>
      <c r="B37" s="5" t="s">
        <v>91</v>
      </c>
      <c r="C37" s="5" t="s">
        <v>19</v>
      </c>
      <c r="D37" s="5" t="s">
        <v>92</v>
      </c>
      <c r="E37" s="5" t="s">
        <v>99</v>
      </c>
      <c r="F37" s="5"/>
      <c r="G37" s="5"/>
    </row>
    <row r="38" spans="1:7" ht="30" x14ac:dyDescent="0.25">
      <c r="A38" s="5" t="s">
        <v>100</v>
      </c>
      <c r="B38" s="5" t="s">
        <v>91</v>
      </c>
      <c r="C38" s="5" t="s">
        <v>19</v>
      </c>
      <c r="D38" s="5" t="s">
        <v>92</v>
      </c>
      <c r="E38" s="5" t="s">
        <v>101</v>
      </c>
      <c r="F38" s="5"/>
      <c r="G38" s="5"/>
    </row>
    <row r="39" spans="1:7" ht="30" x14ac:dyDescent="0.25">
      <c r="A39" s="5" t="s">
        <v>102</v>
      </c>
      <c r="B39" s="5" t="s">
        <v>91</v>
      </c>
      <c r="C39" s="5" t="s">
        <v>19</v>
      </c>
      <c r="D39" s="5" t="s">
        <v>92</v>
      </c>
      <c r="E39" s="5" t="s">
        <v>103</v>
      </c>
      <c r="F39" s="5"/>
      <c r="G39" s="5"/>
    </row>
    <row r="40" spans="1:7" ht="30" x14ac:dyDescent="0.25">
      <c r="A40" s="5" t="s">
        <v>104</v>
      </c>
      <c r="B40" s="5" t="s">
        <v>91</v>
      </c>
      <c r="C40" s="5" t="s">
        <v>19</v>
      </c>
      <c r="D40" s="5" t="s">
        <v>92</v>
      </c>
      <c r="E40" s="5" t="s">
        <v>105</v>
      </c>
      <c r="F40" s="5"/>
      <c r="G40" s="5"/>
    </row>
    <row r="41" spans="1:7" ht="30" x14ac:dyDescent="0.25">
      <c r="A41" s="5" t="s">
        <v>106</v>
      </c>
      <c r="B41" s="5" t="s">
        <v>107</v>
      </c>
      <c r="C41" s="5" t="s">
        <v>19</v>
      </c>
      <c r="D41" s="5" t="s">
        <v>108</v>
      </c>
      <c r="E41" s="5" t="s">
        <v>109</v>
      </c>
      <c r="F41" s="5"/>
      <c r="G41" s="5"/>
    </row>
    <row r="42" spans="1:7" ht="30" x14ac:dyDescent="0.25">
      <c r="A42" s="5" t="s">
        <v>110</v>
      </c>
      <c r="B42" s="5" t="s">
        <v>107</v>
      </c>
      <c r="C42" s="5" t="s">
        <v>19</v>
      </c>
      <c r="D42" s="5" t="s">
        <v>108</v>
      </c>
      <c r="E42" s="5" t="s">
        <v>111</v>
      </c>
      <c r="F42" s="5"/>
      <c r="G42" s="5"/>
    </row>
    <row r="43" spans="1:7" ht="30" x14ac:dyDescent="0.25">
      <c r="A43" s="5" t="s">
        <v>112</v>
      </c>
      <c r="B43" s="5" t="s">
        <v>107</v>
      </c>
      <c r="C43" s="5" t="s">
        <v>19</v>
      </c>
      <c r="D43" s="5" t="s">
        <v>108</v>
      </c>
      <c r="E43" s="5" t="s">
        <v>113</v>
      </c>
      <c r="F43" s="5"/>
      <c r="G43" s="5"/>
    </row>
    <row r="44" spans="1:7" ht="30" x14ac:dyDescent="0.25">
      <c r="A44" s="5" t="s">
        <v>114</v>
      </c>
      <c r="B44" s="5" t="s">
        <v>107</v>
      </c>
      <c r="C44" s="5" t="s">
        <v>19</v>
      </c>
      <c r="D44" s="5" t="s">
        <v>108</v>
      </c>
      <c r="E44" s="5" t="s">
        <v>115</v>
      </c>
      <c r="F44" s="5"/>
      <c r="G44" s="5"/>
    </row>
    <row r="45" spans="1:7" ht="30" x14ac:dyDescent="0.25">
      <c r="A45" s="5" t="s">
        <v>116</v>
      </c>
      <c r="B45" s="5" t="s">
        <v>107</v>
      </c>
      <c r="C45" s="5" t="s">
        <v>19</v>
      </c>
      <c r="D45" s="5" t="s">
        <v>108</v>
      </c>
      <c r="E45" s="5" t="s">
        <v>117</v>
      </c>
      <c r="F45" s="5"/>
      <c r="G45" s="5"/>
    </row>
    <row r="46" spans="1:7" ht="30" x14ac:dyDescent="0.25">
      <c r="A46" s="5" t="s">
        <v>118</v>
      </c>
      <c r="B46" s="5" t="s">
        <v>107</v>
      </c>
      <c r="C46" s="5" t="s">
        <v>19</v>
      </c>
      <c r="D46" s="5" t="s">
        <v>108</v>
      </c>
      <c r="E46" s="5" t="s">
        <v>119</v>
      </c>
      <c r="F46" s="5"/>
      <c r="G46" s="5"/>
    </row>
    <row r="47" spans="1:7" ht="30" x14ac:dyDescent="0.25">
      <c r="A47" s="5" t="s">
        <v>120</v>
      </c>
      <c r="B47" s="5" t="s">
        <v>107</v>
      </c>
      <c r="C47" s="5" t="s">
        <v>19</v>
      </c>
      <c r="D47" s="5" t="s">
        <v>108</v>
      </c>
      <c r="E47" s="5" t="s">
        <v>121</v>
      </c>
      <c r="F47" s="5"/>
      <c r="G47" s="5"/>
    </row>
    <row r="48" spans="1:7" ht="30" x14ac:dyDescent="0.25">
      <c r="A48" s="5" t="s">
        <v>122</v>
      </c>
      <c r="B48" s="5" t="s">
        <v>123</v>
      </c>
      <c r="C48" s="5" t="s">
        <v>19</v>
      </c>
      <c r="D48" s="5" t="s">
        <v>124</v>
      </c>
      <c r="E48" s="5" t="s">
        <v>125</v>
      </c>
      <c r="F48" s="5"/>
      <c r="G48" s="5"/>
    </row>
    <row r="49" spans="1:7" ht="30" x14ac:dyDescent="0.25">
      <c r="A49" s="5" t="s">
        <v>126</v>
      </c>
      <c r="B49" s="5" t="s">
        <v>123</v>
      </c>
      <c r="C49" s="5" t="s">
        <v>19</v>
      </c>
      <c r="D49" s="5" t="s">
        <v>124</v>
      </c>
      <c r="E49" s="5" t="s">
        <v>127</v>
      </c>
      <c r="F49" s="5"/>
      <c r="G49" s="5"/>
    </row>
    <row r="50" spans="1:7" ht="30" x14ac:dyDescent="0.25">
      <c r="A50" s="5" t="s">
        <v>128</v>
      </c>
      <c r="B50" s="5" t="s">
        <v>123</v>
      </c>
      <c r="C50" s="5" t="s">
        <v>19</v>
      </c>
      <c r="D50" s="5" t="s">
        <v>124</v>
      </c>
      <c r="E50" s="5" t="s">
        <v>129</v>
      </c>
      <c r="F50" s="5"/>
      <c r="G50" s="5"/>
    </row>
    <row r="51" spans="1:7" ht="30" x14ac:dyDescent="0.25">
      <c r="A51" s="5" t="s">
        <v>130</v>
      </c>
      <c r="B51" s="5" t="s">
        <v>123</v>
      </c>
      <c r="C51" s="5" t="s">
        <v>19</v>
      </c>
      <c r="D51" s="5" t="s">
        <v>124</v>
      </c>
      <c r="E51" s="5" t="s">
        <v>131</v>
      </c>
      <c r="F51" s="5"/>
      <c r="G51" s="5"/>
    </row>
    <row r="52" spans="1:7" ht="30" x14ac:dyDescent="0.25">
      <c r="A52" s="5" t="s">
        <v>132</v>
      </c>
      <c r="B52" s="5" t="s">
        <v>123</v>
      </c>
      <c r="C52" s="5" t="s">
        <v>19</v>
      </c>
      <c r="D52" s="5" t="s">
        <v>124</v>
      </c>
      <c r="E52" s="5" t="s">
        <v>133</v>
      </c>
      <c r="F52" s="5"/>
      <c r="G52" s="5"/>
    </row>
    <row r="53" spans="1:7" ht="30" x14ac:dyDescent="0.25">
      <c r="A53" s="5" t="s">
        <v>134</v>
      </c>
      <c r="B53" s="5" t="s">
        <v>123</v>
      </c>
      <c r="C53" s="5" t="s">
        <v>19</v>
      </c>
      <c r="D53" s="5" t="s">
        <v>124</v>
      </c>
      <c r="E53" s="5" t="s">
        <v>135</v>
      </c>
      <c r="F53" s="5"/>
      <c r="G53" s="5"/>
    </row>
    <row r="54" spans="1:7" ht="30" x14ac:dyDescent="0.25">
      <c r="A54" s="5" t="s">
        <v>136</v>
      </c>
      <c r="B54" s="5" t="s">
        <v>123</v>
      </c>
      <c r="C54" s="5" t="s">
        <v>19</v>
      </c>
      <c r="D54" s="5" t="s">
        <v>124</v>
      </c>
      <c r="E54" s="5" t="s">
        <v>137</v>
      </c>
      <c r="F54" s="5"/>
      <c r="G54" s="5"/>
    </row>
    <row r="55" spans="1:7" ht="30" x14ac:dyDescent="0.25">
      <c r="A55" s="5" t="s">
        <v>138</v>
      </c>
      <c r="B55" s="5" t="s">
        <v>139</v>
      </c>
      <c r="C55" s="5" t="s">
        <v>19</v>
      </c>
      <c r="D55" s="5" t="s">
        <v>140</v>
      </c>
      <c r="E55" s="5" t="s">
        <v>141</v>
      </c>
      <c r="F55" s="5"/>
      <c r="G55" s="5"/>
    </row>
    <row r="56" spans="1:7" ht="30" x14ac:dyDescent="0.25">
      <c r="A56" s="5" t="s">
        <v>142</v>
      </c>
      <c r="B56" s="5" t="s">
        <v>139</v>
      </c>
      <c r="C56" s="5" t="s">
        <v>19</v>
      </c>
      <c r="D56" s="5" t="s">
        <v>140</v>
      </c>
      <c r="E56" s="5" t="s">
        <v>143</v>
      </c>
      <c r="F56" s="5"/>
      <c r="G56" s="5"/>
    </row>
    <row r="57" spans="1:7" ht="30" x14ac:dyDescent="0.25">
      <c r="A57" s="5" t="s">
        <v>144</v>
      </c>
      <c r="B57" s="5" t="s">
        <v>139</v>
      </c>
      <c r="C57" s="5" t="s">
        <v>19</v>
      </c>
      <c r="D57" s="5" t="s">
        <v>140</v>
      </c>
      <c r="E57" s="5"/>
      <c r="F57" s="5"/>
      <c r="G57" s="5"/>
    </row>
    <row r="58" spans="1:7" ht="30" x14ac:dyDescent="0.25">
      <c r="A58" s="5" t="s">
        <v>145</v>
      </c>
      <c r="B58" s="5" t="s">
        <v>139</v>
      </c>
      <c r="C58" s="5" t="s">
        <v>19</v>
      </c>
      <c r="D58" s="5" t="s">
        <v>140</v>
      </c>
      <c r="E58" s="5" t="s">
        <v>146</v>
      </c>
      <c r="F58" s="5"/>
      <c r="G58" s="5"/>
    </row>
    <row r="59" spans="1:7" ht="30" x14ac:dyDescent="0.25">
      <c r="A59" s="5" t="s">
        <v>147</v>
      </c>
      <c r="B59" s="5" t="s">
        <v>139</v>
      </c>
      <c r="C59" s="5" t="s">
        <v>19</v>
      </c>
      <c r="D59" s="5" t="s">
        <v>140</v>
      </c>
      <c r="E59" s="5" t="s">
        <v>148</v>
      </c>
      <c r="F59" s="5"/>
      <c r="G59" s="5"/>
    </row>
    <row r="60" spans="1:7" ht="30" x14ac:dyDescent="0.25">
      <c r="A60" s="5" t="s">
        <v>149</v>
      </c>
      <c r="B60" s="5" t="s">
        <v>139</v>
      </c>
      <c r="C60" s="5" t="s">
        <v>19</v>
      </c>
      <c r="D60" s="5" t="s">
        <v>140</v>
      </c>
      <c r="E60" s="5" t="s">
        <v>150</v>
      </c>
      <c r="F60" s="5"/>
      <c r="G60" s="5"/>
    </row>
    <row r="61" spans="1:7" ht="30" x14ac:dyDescent="0.25">
      <c r="A61" s="5" t="s">
        <v>151</v>
      </c>
      <c r="B61" s="5" t="s">
        <v>139</v>
      </c>
      <c r="C61" s="5" t="s">
        <v>19</v>
      </c>
      <c r="D61" s="5" t="s">
        <v>140</v>
      </c>
      <c r="E61" s="5" t="s">
        <v>152</v>
      </c>
      <c r="F61" s="5"/>
      <c r="G61" s="5"/>
    </row>
    <row r="62" spans="1:7" ht="45" x14ac:dyDescent="0.25">
      <c r="A62" s="5" t="s">
        <v>153</v>
      </c>
      <c r="B62" s="5" t="s">
        <v>139</v>
      </c>
      <c r="C62" s="5" t="s">
        <v>19</v>
      </c>
      <c r="D62" s="5" t="s">
        <v>140</v>
      </c>
      <c r="E62" s="5" t="s">
        <v>154</v>
      </c>
      <c r="F62" s="5"/>
      <c r="G62" s="5"/>
    </row>
    <row r="63" spans="1:7" ht="30" x14ac:dyDescent="0.25">
      <c r="A63" s="5" t="s">
        <v>155</v>
      </c>
      <c r="B63" s="5" t="s">
        <v>139</v>
      </c>
      <c r="C63" s="5" t="s">
        <v>19</v>
      </c>
      <c r="D63" s="5" t="s">
        <v>140</v>
      </c>
      <c r="E63" s="5" t="s">
        <v>156</v>
      </c>
      <c r="F63" s="5"/>
      <c r="G63" s="5"/>
    </row>
    <row r="64" spans="1:7" ht="30" x14ac:dyDescent="0.25">
      <c r="A64" s="5" t="s">
        <v>157</v>
      </c>
      <c r="B64" s="5" t="s">
        <v>139</v>
      </c>
      <c r="C64" s="5" t="s">
        <v>19</v>
      </c>
      <c r="D64" s="5" t="s">
        <v>140</v>
      </c>
      <c r="E64" s="5" t="s">
        <v>158</v>
      </c>
      <c r="F64" s="5"/>
      <c r="G64" s="5"/>
    </row>
    <row r="65" spans="1:7" ht="30" x14ac:dyDescent="0.25">
      <c r="A65" s="5" t="s">
        <v>159</v>
      </c>
      <c r="B65" s="5" t="s">
        <v>139</v>
      </c>
      <c r="C65" s="5" t="s">
        <v>19</v>
      </c>
      <c r="D65" s="5" t="s">
        <v>140</v>
      </c>
      <c r="E65" s="5" t="s">
        <v>160</v>
      </c>
      <c r="F65" s="5"/>
      <c r="G65" s="5"/>
    </row>
    <row r="66" spans="1:7" ht="30" x14ac:dyDescent="0.25">
      <c r="A66" s="5" t="s">
        <v>161</v>
      </c>
      <c r="B66" s="5" t="s">
        <v>162</v>
      </c>
      <c r="C66" s="5" t="s">
        <v>19</v>
      </c>
      <c r="D66" s="5" t="s">
        <v>163</v>
      </c>
      <c r="E66" s="5" t="s">
        <v>164</v>
      </c>
      <c r="F66" s="5"/>
      <c r="G66" s="5"/>
    </row>
    <row r="67" spans="1:7" ht="45" x14ac:dyDescent="0.25">
      <c r="A67" s="5" t="s">
        <v>165</v>
      </c>
      <c r="B67" s="5" t="s">
        <v>162</v>
      </c>
      <c r="C67" s="5" t="s">
        <v>19</v>
      </c>
      <c r="D67" s="5" t="s">
        <v>163</v>
      </c>
      <c r="E67" s="5" t="s">
        <v>166</v>
      </c>
      <c r="F67" s="5"/>
      <c r="G67" s="5"/>
    </row>
    <row r="68" spans="1:7" ht="30" x14ac:dyDescent="0.25">
      <c r="A68" s="5" t="s">
        <v>167</v>
      </c>
      <c r="B68" s="5" t="s">
        <v>168</v>
      </c>
      <c r="C68" s="5" t="s">
        <v>19</v>
      </c>
      <c r="D68" s="5" t="s">
        <v>169</v>
      </c>
      <c r="E68" s="5" t="s">
        <v>170</v>
      </c>
      <c r="F68" s="5"/>
      <c r="G68" s="5"/>
    </row>
    <row r="69" spans="1:7" ht="45" x14ac:dyDescent="0.25">
      <c r="A69" s="5" t="s">
        <v>171</v>
      </c>
      <c r="B69" s="5" t="s">
        <v>168</v>
      </c>
      <c r="C69" s="5" t="s">
        <v>19</v>
      </c>
      <c r="D69" s="5" t="s">
        <v>169</v>
      </c>
      <c r="E69" s="5" t="s">
        <v>172</v>
      </c>
      <c r="F69" s="5"/>
      <c r="G69" s="5"/>
    </row>
    <row r="70" spans="1:7" ht="30" x14ac:dyDescent="0.25">
      <c r="A70" s="5" t="s">
        <v>173</v>
      </c>
      <c r="B70" s="5" t="s">
        <v>168</v>
      </c>
      <c r="C70" s="5" t="s">
        <v>19</v>
      </c>
      <c r="D70" s="5" t="s">
        <v>169</v>
      </c>
      <c r="E70" s="5" t="s">
        <v>174</v>
      </c>
      <c r="F70" s="5"/>
      <c r="G70" s="5"/>
    </row>
    <row r="71" spans="1:7" ht="30" x14ac:dyDescent="0.25">
      <c r="A71" s="5" t="s">
        <v>175</v>
      </c>
      <c r="B71" s="5" t="s">
        <v>168</v>
      </c>
      <c r="C71" s="5" t="s">
        <v>19</v>
      </c>
      <c r="D71" s="5" t="s">
        <v>169</v>
      </c>
      <c r="E71" s="5" t="s">
        <v>176</v>
      </c>
      <c r="F71" s="5"/>
      <c r="G71" s="5"/>
    </row>
    <row r="72" spans="1:7" ht="30" x14ac:dyDescent="0.25">
      <c r="A72" s="5" t="s">
        <v>177</v>
      </c>
      <c r="B72" s="5" t="s">
        <v>168</v>
      </c>
      <c r="C72" s="5" t="s">
        <v>19</v>
      </c>
      <c r="D72" s="5" t="s">
        <v>169</v>
      </c>
      <c r="E72" s="5" t="s">
        <v>178</v>
      </c>
      <c r="F72" s="5"/>
      <c r="G72" s="5"/>
    </row>
    <row r="73" spans="1:7" ht="30" x14ac:dyDescent="0.25">
      <c r="A73" s="5" t="s">
        <v>179</v>
      </c>
      <c r="B73" s="5" t="s">
        <v>168</v>
      </c>
      <c r="C73" s="5" t="s">
        <v>19</v>
      </c>
      <c r="D73" s="5" t="s">
        <v>169</v>
      </c>
      <c r="E73" s="5" t="s">
        <v>180</v>
      </c>
      <c r="F73" s="5"/>
      <c r="G73" s="5"/>
    </row>
    <row r="74" spans="1:7" ht="30" x14ac:dyDescent="0.25">
      <c r="A74" s="5" t="s">
        <v>181</v>
      </c>
      <c r="B74" s="5" t="s">
        <v>168</v>
      </c>
      <c r="C74" s="5" t="s">
        <v>19</v>
      </c>
      <c r="D74" s="5" t="s">
        <v>169</v>
      </c>
      <c r="E74" s="5" t="s">
        <v>182</v>
      </c>
      <c r="F74" s="5"/>
      <c r="G74" s="5"/>
    </row>
    <row r="75" spans="1:7" ht="30" x14ac:dyDescent="0.25">
      <c r="A75" s="5" t="s">
        <v>183</v>
      </c>
      <c r="B75" s="5" t="s">
        <v>168</v>
      </c>
      <c r="C75" s="5" t="s">
        <v>19</v>
      </c>
      <c r="D75" s="5" t="s">
        <v>169</v>
      </c>
      <c r="E75" s="5" t="s">
        <v>184</v>
      </c>
      <c r="F75" s="5"/>
      <c r="G75" s="5"/>
    </row>
    <row r="76" spans="1:7" ht="30" x14ac:dyDescent="0.25">
      <c r="A76" s="5" t="s">
        <v>185</v>
      </c>
      <c r="B76" s="5" t="s">
        <v>168</v>
      </c>
      <c r="C76" s="5" t="s">
        <v>19</v>
      </c>
      <c r="D76" s="5" t="s">
        <v>169</v>
      </c>
      <c r="E76" s="5" t="s">
        <v>186</v>
      </c>
      <c r="F76" s="5"/>
      <c r="G76" s="5"/>
    </row>
    <row r="77" spans="1:7" ht="30" x14ac:dyDescent="0.25">
      <c r="A77" s="5" t="s">
        <v>187</v>
      </c>
      <c r="B77" s="5" t="s">
        <v>188</v>
      </c>
      <c r="C77" s="5" t="s">
        <v>19</v>
      </c>
      <c r="D77" s="5" t="s">
        <v>189</v>
      </c>
      <c r="E77" s="5" t="s">
        <v>190</v>
      </c>
      <c r="F77" s="5"/>
      <c r="G77" s="5"/>
    </row>
    <row r="78" spans="1:7" ht="30" x14ac:dyDescent="0.25">
      <c r="A78" s="5" t="s">
        <v>191</v>
      </c>
      <c r="B78" s="5" t="s">
        <v>188</v>
      </c>
      <c r="C78" s="5" t="s">
        <v>19</v>
      </c>
      <c r="D78" s="5" t="s">
        <v>189</v>
      </c>
      <c r="E78" s="5" t="s">
        <v>192</v>
      </c>
      <c r="F78" s="5"/>
      <c r="G78" s="5"/>
    </row>
    <row r="79" spans="1:7" ht="30" x14ac:dyDescent="0.25">
      <c r="A79" s="5" t="s">
        <v>193</v>
      </c>
      <c r="B79" s="5" t="s">
        <v>188</v>
      </c>
      <c r="C79" s="5" t="s">
        <v>19</v>
      </c>
      <c r="D79" s="5" t="s">
        <v>189</v>
      </c>
      <c r="E79" s="5" t="s">
        <v>194</v>
      </c>
      <c r="F79" s="5"/>
      <c r="G79" s="5"/>
    </row>
    <row r="80" spans="1:7" ht="45" x14ac:dyDescent="0.25">
      <c r="A80" s="5" t="s">
        <v>195</v>
      </c>
      <c r="B80" s="5" t="s">
        <v>196</v>
      </c>
      <c r="C80" s="5" t="s">
        <v>19</v>
      </c>
      <c r="D80" s="5" t="s">
        <v>197</v>
      </c>
      <c r="E80" s="5" t="s">
        <v>198</v>
      </c>
      <c r="F80" s="5"/>
      <c r="G80" s="5"/>
    </row>
    <row r="81" spans="1:7" ht="30" x14ac:dyDescent="0.25">
      <c r="A81" s="5" t="s">
        <v>199</v>
      </c>
      <c r="B81" s="5" t="s">
        <v>196</v>
      </c>
      <c r="C81" s="5" t="s">
        <v>19</v>
      </c>
      <c r="D81" s="5" t="s">
        <v>197</v>
      </c>
      <c r="E81" s="5" t="s">
        <v>200</v>
      </c>
      <c r="F81" s="5"/>
      <c r="G81" s="5"/>
    </row>
    <row r="82" spans="1:7" ht="30" x14ac:dyDescent="0.25">
      <c r="A82" s="5" t="s">
        <v>201</v>
      </c>
      <c r="B82" s="5" t="s">
        <v>196</v>
      </c>
      <c r="C82" s="5" t="s">
        <v>19</v>
      </c>
      <c r="D82" s="5" t="s">
        <v>197</v>
      </c>
      <c r="E82" s="5" t="s">
        <v>202</v>
      </c>
      <c r="F82" s="5"/>
      <c r="G82" s="5"/>
    </row>
    <row r="83" spans="1:7" ht="45" x14ac:dyDescent="0.25">
      <c r="A83" s="5" t="s">
        <v>203</v>
      </c>
      <c r="B83" s="5" t="s">
        <v>196</v>
      </c>
      <c r="C83" s="5" t="s">
        <v>19</v>
      </c>
      <c r="D83" s="5" t="s">
        <v>197</v>
      </c>
      <c r="E83" s="5" t="s">
        <v>204</v>
      </c>
      <c r="F83" s="5"/>
      <c r="G83" s="5"/>
    </row>
    <row r="84" spans="1:7" ht="30" x14ac:dyDescent="0.25">
      <c r="A84" s="5" t="s">
        <v>205</v>
      </c>
      <c r="B84" s="5" t="s">
        <v>196</v>
      </c>
      <c r="C84" s="5" t="s">
        <v>19</v>
      </c>
      <c r="D84" s="5" t="s">
        <v>197</v>
      </c>
      <c r="E84" s="5" t="s">
        <v>206</v>
      </c>
      <c r="F84" s="5"/>
      <c r="G84" s="5"/>
    </row>
    <row r="85" spans="1:7" ht="30" x14ac:dyDescent="0.25">
      <c r="A85" s="5" t="s">
        <v>207</v>
      </c>
      <c r="B85" s="5" t="s">
        <v>196</v>
      </c>
      <c r="C85" s="5" t="s">
        <v>19</v>
      </c>
      <c r="D85" s="5" t="s">
        <v>197</v>
      </c>
      <c r="E85" s="5" t="s">
        <v>208</v>
      </c>
      <c r="F85" s="5"/>
      <c r="G85" s="5"/>
    </row>
    <row r="86" spans="1:7" ht="30" x14ac:dyDescent="0.25">
      <c r="A86" s="5" t="s">
        <v>209</v>
      </c>
      <c r="B86" s="5" t="s">
        <v>196</v>
      </c>
      <c r="C86" s="5" t="s">
        <v>19</v>
      </c>
      <c r="D86" s="5" t="s">
        <v>197</v>
      </c>
      <c r="E86" s="5" t="s">
        <v>210</v>
      </c>
      <c r="F86" s="5"/>
      <c r="G86" s="5"/>
    </row>
    <row r="87" spans="1:7" ht="30" x14ac:dyDescent="0.25">
      <c r="A87" s="5" t="s">
        <v>211</v>
      </c>
      <c r="B87" s="5" t="s">
        <v>212</v>
      </c>
      <c r="C87" s="5" t="s">
        <v>19</v>
      </c>
      <c r="D87" s="5" t="s">
        <v>213</v>
      </c>
      <c r="E87" s="5" t="s">
        <v>214</v>
      </c>
      <c r="F87" s="5"/>
      <c r="G87" s="5"/>
    </row>
    <row r="88" spans="1:7" ht="30" x14ac:dyDescent="0.25">
      <c r="A88" s="5" t="s">
        <v>215</v>
      </c>
      <c r="B88" s="5" t="s">
        <v>212</v>
      </c>
      <c r="C88" s="5" t="s">
        <v>19</v>
      </c>
      <c r="D88" s="5" t="s">
        <v>213</v>
      </c>
      <c r="E88" s="5" t="s">
        <v>216</v>
      </c>
      <c r="F88" s="5"/>
      <c r="G88" s="5"/>
    </row>
    <row r="89" spans="1:7" ht="30" x14ac:dyDescent="0.25">
      <c r="A89" s="5" t="s">
        <v>217</v>
      </c>
      <c r="B89" s="5" t="s">
        <v>212</v>
      </c>
      <c r="C89" s="5" t="s">
        <v>19</v>
      </c>
      <c r="D89" s="5" t="s">
        <v>213</v>
      </c>
      <c r="E89" s="5" t="s">
        <v>218</v>
      </c>
      <c r="F89" s="5"/>
      <c r="G89" s="5"/>
    </row>
    <row r="90" spans="1:7" ht="30" x14ac:dyDescent="0.25">
      <c r="A90" s="5" t="s">
        <v>219</v>
      </c>
      <c r="B90" s="5" t="s">
        <v>212</v>
      </c>
      <c r="C90" s="5" t="s">
        <v>19</v>
      </c>
      <c r="D90" s="5" t="s">
        <v>213</v>
      </c>
      <c r="E90" s="5" t="s">
        <v>220</v>
      </c>
      <c r="F90" s="5"/>
      <c r="G90" s="5"/>
    </row>
    <row r="91" spans="1:7" ht="30" x14ac:dyDescent="0.25">
      <c r="A91" s="5" t="s">
        <v>221</v>
      </c>
      <c r="B91" s="5" t="s">
        <v>212</v>
      </c>
      <c r="C91" s="5" t="s">
        <v>19</v>
      </c>
      <c r="D91" s="5" t="s">
        <v>213</v>
      </c>
      <c r="E91" s="5" t="s">
        <v>222</v>
      </c>
      <c r="F91" s="5"/>
      <c r="G91" s="5"/>
    </row>
    <row r="92" spans="1:7" ht="30" x14ac:dyDescent="0.25">
      <c r="A92" s="5" t="s">
        <v>223</v>
      </c>
      <c r="B92" s="5" t="s">
        <v>212</v>
      </c>
      <c r="C92" s="5" t="s">
        <v>19</v>
      </c>
      <c r="D92" s="5" t="s">
        <v>213</v>
      </c>
      <c r="E92" s="5" t="s">
        <v>224</v>
      </c>
      <c r="F92" s="5"/>
      <c r="G92" s="5"/>
    </row>
    <row r="93" spans="1:7" ht="30" x14ac:dyDescent="0.25">
      <c r="A93" s="5" t="s">
        <v>225</v>
      </c>
      <c r="B93" s="5" t="s">
        <v>212</v>
      </c>
      <c r="C93" s="5" t="s">
        <v>19</v>
      </c>
      <c r="D93" s="5" t="s">
        <v>213</v>
      </c>
      <c r="E93" s="5" t="s">
        <v>226</v>
      </c>
      <c r="F93" s="5"/>
      <c r="G93" s="5"/>
    </row>
    <row r="94" spans="1:7" ht="30" x14ac:dyDescent="0.25">
      <c r="A94" s="5" t="s">
        <v>227</v>
      </c>
      <c r="B94" s="5" t="s">
        <v>212</v>
      </c>
      <c r="C94" s="5" t="s">
        <v>19</v>
      </c>
      <c r="D94" s="5" t="s">
        <v>213</v>
      </c>
      <c r="E94" s="5" t="s">
        <v>228</v>
      </c>
      <c r="F94" s="5"/>
      <c r="G94" s="5"/>
    </row>
    <row r="95" spans="1:7" ht="30" x14ac:dyDescent="0.25">
      <c r="A95" s="5" t="s">
        <v>229</v>
      </c>
      <c r="B95" s="5" t="s">
        <v>212</v>
      </c>
      <c r="C95" s="5" t="s">
        <v>19</v>
      </c>
      <c r="D95" s="5" t="s">
        <v>213</v>
      </c>
      <c r="E95" s="5" t="s">
        <v>230</v>
      </c>
      <c r="F95" s="5"/>
      <c r="G95" s="5"/>
    </row>
    <row r="96" spans="1:7" ht="30" x14ac:dyDescent="0.25">
      <c r="A96" s="5" t="s">
        <v>231</v>
      </c>
      <c r="B96" s="5" t="s">
        <v>212</v>
      </c>
      <c r="C96" s="5" t="s">
        <v>19</v>
      </c>
      <c r="D96" s="5" t="s">
        <v>213</v>
      </c>
      <c r="E96" s="5" t="s">
        <v>232</v>
      </c>
      <c r="F96" s="5"/>
      <c r="G96" s="5"/>
    </row>
    <row r="97" spans="1:7" ht="30" x14ac:dyDescent="0.25">
      <c r="A97" s="5" t="s">
        <v>233</v>
      </c>
      <c r="B97" s="5" t="s">
        <v>212</v>
      </c>
      <c r="C97" s="5" t="s">
        <v>19</v>
      </c>
      <c r="D97" s="5" t="s">
        <v>213</v>
      </c>
      <c r="E97" s="5" t="s">
        <v>234</v>
      </c>
      <c r="F97" s="5"/>
      <c r="G97" s="5"/>
    </row>
    <row r="98" spans="1:7" ht="30" x14ac:dyDescent="0.25">
      <c r="A98" s="5" t="s">
        <v>235</v>
      </c>
      <c r="B98" s="5" t="s">
        <v>212</v>
      </c>
      <c r="C98" s="5" t="s">
        <v>19</v>
      </c>
      <c r="D98" s="5" t="s">
        <v>213</v>
      </c>
      <c r="E98" s="5" t="s">
        <v>236</v>
      </c>
      <c r="F98" s="5"/>
      <c r="G98" s="5"/>
    </row>
    <row r="99" spans="1:7" ht="30" x14ac:dyDescent="0.25">
      <c r="A99" s="5" t="s">
        <v>237</v>
      </c>
      <c r="B99" s="5" t="s">
        <v>212</v>
      </c>
      <c r="C99" s="5" t="s">
        <v>19</v>
      </c>
      <c r="D99" s="5" t="s">
        <v>213</v>
      </c>
      <c r="E99" s="5" t="s">
        <v>238</v>
      </c>
      <c r="F99" s="5"/>
      <c r="G99" s="5"/>
    </row>
    <row r="100" spans="1:7" ht="30" x14ac:dyDescent="0.25">
      <c r="A100" s="5" t="s">
        <v>239</v>
      </c>
      <c r="B100" s="5" t="s">
        <v>212</v>
      </c>
      <c r="C100" s="5" t="s">
        <v>19</v>
      </c>
      <c r="D100" s="5" t="s">
        <v>213</v>
      </c>
      <c r="E100" s="5" t="s">
        <v>240</v>
      </c>
      <c r="F100" s="5"/>
      <c r="G100" s="5"/>
    </row>
    <row r="101" spans="1:7" ht="30" x14ac:dyDescent="0.25">
      <c r="A101" s="5" t="s">
        <v>241</v>
      </c>
      <c r="B101" s="5" t="s">
        <v>212</v>
      </c>
      <c r="C101" s="5" t="s">
        <v>19</v>
      </c>
      <c r="D101" s="5" t="s">
        <v>213</v>
      </c>
      <c r="E101" s="5" t="s">
        <v>242</v>
      </c>
      <c r="F101" s="5"/>
      <c r="G101" s="5"/>
    </row>
    <row r="102" spans="1:7" ht="60" x14ac:dyDescent="0.25">
      <c r="A102" s="5" t="s">
        <v>243</v>
      </c>
      <c r="B102" s="5" t="s">
        <v>212</v>
      </c>
      <c r="C102" s="5" t="s">
        <v>19</v>
      </c>
      <c r="D102" s="5" t="s">
        <v>213</v>
      </c>
      <c r="E102" s="5" t="s">
        <v>244</v>
      </c>
      <c r="F102" s="5"/>
      <c r="G102" s="5"/>
    </row>
    <row r="103" spans="1:7" ht="30" x14ac:dyDescent="0.25">
      <c r="A103" s="5" t="s">
        <v>245</v>
      </c>
      <c r="B103" s="5" t="s">
        <v>212</v>
      </c>
      <c r="C103" s="5" t="s">
        <v>19</v>
      </c>
      <c r="D103" s="5" t="s">
        <v>213</v>
      </c>
      <c r="E103" s="5" t="s">
        <v>246</v>
      </c>
      <c r="F103" s="5"/>
      <c r="G103" s="5"/>
    </row>
    <row r="104" spans="1:7" ht="30" x14ac:dyDescent="0.25">
      <c r="A104" s="5" t="s">
        <v>247</v>
      </c>
      <c r="B104" s="5" t="s">
        <v>248</v>
      </c>
      <c r="C104" s="5" t="s">
        <v>249</v>
      </c>
      <c r="D104" s="5" t="s">
        <v>250</v>
      </c>
      <c r="E104" s="5" t="s">
        <v>251</v>
      </c>
      <c r="F104" s="5"/>
      <c r="G104" s="5"/>
    </row>
    <row r="105" spans="1:7" ht="30" x14ac:dyDescent="0.25">
      <c r="A105" s="5" t="s">
        <v>252</v>
      </c>
      <c r="B105" s="5" t="s">
        <v>248</v>
      </c>
      <c r="C105" s="5" t="s">
        <v>249</v>
      </c>
      <c r="D105" s="5" t="s">
        <v>250</v>
      </c>
      <c r="E105" s="5" t="s">
        <v>253</v>
      </c>
      <c r="F105" s="5"/>
      <c r="G105" s="5"/>
    </row>
    <row r="106" spans="1:7" ht="45" x14ac:dyDescent="0.25">
      <c r="A106" s="5" t="s">
        <v>254</v>
      </c>
      <c r="B106" s="5" t="s">
        <v>248</v>
      </c>
      <c r="C106" s="5" t="s">
        <v>249</v>
      </c>
      <c r="D106" s="5" t="s">
        <v>250</v>
      </c>
      <c r="E106" s="5" t="s">
        <v>255</v>
      </c>
      <c r="F106" s="5"/>
      <c r="G106" s="5"/>
    </row>
    <row r="107" spans="1:7" ht="30" x14ac:dyDescent="0.25">
      <c r="A107" s="5" t="s">
        <v>256</v>
      </c>
      <c r="B107" s="5" t="s">
        <v>257</v>
      </c>
      <c r="C107" s="5" t="s">
        <v>249</v>
      </c>
      <c r="D107" s="5" t="s">
        <v>250</v>
      </c>
      <c r="E107" s="5" t="s">
        <v>258</v>
      </c>
      <c r="F107" s="5"/>
      <c r="G107" s="5"/>
    </row>
    <row r="108" spans="1:7" ht="30" x14ac:dyDescent="0.25">
      <c r="A108" s="5" t="s">
        <v>259</v>
      </c>
      <c r="B108" s="5" t="s">
        <v>257</v>
      </c>
      <c r="C108" s="5" t="s">
        <v>249</v>
      </c>
      <c r="D108" s="5" t="s">
        <v>250</v>
      </c>
      <c r="E108" s="5" t="s">
        <v>260</v>
      </c>
      <c r="F108" s="5"/>
      <c r="G108" s="5"/>
    </row>
    <row r="109" spans="1:7" ht="30" x14ac:dyDescent="0.25">
      <c r="A109" s="5" t="s">
        <v>261</v>
      </c>
      <c r="B109" s="5" t="s">
        <v>262</v>
      </c>
      <c r="C109" s="5" t="s">
        <v>249</v>
      </c>
      <c r="D109" s="5" t="s">
        <v>263</v>
      </c>
      <c r="E109" s="5" t="s">
        <v>264</v>
      </c>
      <c r="F109" s="5"/>
      <c r="G109" s="5"/>
    </row>
    <row r="110" spans="1:7" ht="30" x14ac:dyDescent="0.25">
      <c r="A110" s="5" t="s">
        <v>265</v>
      </c>
      <c r="B110" s="5" t="s">
        <v>262</v>
      </c>
      <c r="C110" s="5" t="s">
        <v>249</v>
      </c>
      <c r="D110" s="5" t="s">
        <v>263</v>
      </c>
      <c r="E110" s="5" t="s">
        <v>266</v>
      </c>
      <c r="F110" s="5"/>
      <c r="G110" s="5"/>
    </row>
    <row r="111" spans="1:7" ht="30" x14ac:dyDescent="0.25">
      <c r="A111" s="5" t="s">
        <v>267</v>
      </c>
      <c r="B111" s="5" t="s">
        <v>262</v>
      </c>
      <c r="C111" s="5" t="s">
        <v>249</v>
      </c>
      <c r="D111" s="5" t="s">
        <v>263</v>
      </c>
      <c r="E111" s="5" t="s">
        <v>268</v>
      </c>
      <c r="F111" s="5"/>
      <c r="G111" s="5"/>
    </row>
    <row r="112" spans="1:7" ht="30" x14ac:dyDescent="0.25">
      <c r="A112" s="5" t="s">
        <v>269</v>
      </c>
      <c r="B112" s="5" t="s">
        <v>262</v>
      </c>
      <c r="C112" s="5" t="s">
        <v>249</v>
      </c>
      <c r="D112" s="5" t="s">
        <v>263</v>
      </c>
      <c r="E112" s="5" t="s">
        <v>270</v>
      </c>
      <c r="F112" s="5"/>
      <c r="G112" s="5"/>
    </row>
    <row r="113" spans="1:7" ht="30" x14ac:dyDescent="0.25">
      <c r="A113" s="5" t="s">
        <v>271</v>
      </c>
      <c r="B113" s="5" t="s">
        <v>262</v>
      </c>
      <c r="C113" s="5" t="s">
        <v>249</v>
      </c>
      <c r="D113" s="5" t="s">
        <v>263</v>
      </c>
      <c r="E113" s="5" t="s">
        <v>272</v>
      </c>
      <c r="F113" s="5"/>
      <c r="G113" s="5"/>
    </row>
    <row r="114" spans="1:7" ht="30" x14ac:dyDescent="0.25">
      <c r="A114" s="5" t="s">
        <v>273</v>
      </c>
      <c r="B114" s="5" t="s">
        <v>262</v>
      </c>
      <c r="C114" s="5" t="s">
        <v>249</v>
      </c>
      <c r="D114" s="5" t="s">
        <v>263</v>
      </c>
      <c r="E114" s="5" t="s">
        <v>274</v>
      </c>
      <c r="F114" s="5"/>
      <c r="G114" s="5"/>
    </row>
    <row r="115" spans="1:7" ht="30" x14ac:dyDescent="0.25">
      <c r="A115" s="5" t="s">
        <v>275</v>
      </c>
      <c r="B115" s="5" t="s">
        <v>262</v>
      </c>
      <c r="C115" s="5" t="s">
        <v>249</v>
      </c>
      <c r="D115" s="5" t="s">
        <v>263</v>
      </c>
      <c r="E115" s="5" t="s">
        <v>276</v>
      </c>
      <c r="F115" s="5"/>
      <c r="G115" s="5"/>
    </row>
    <row r="116" spans="1:7" ht="30" x14ac:dyDescent="0.25">
      <c r="A116" s="5" t="s">
        <v>277</v>
      </c>
      <c r="B116" s="5" t="s">
        <v>262</v>
      </c>
      <c r="C116" s="5" t="s">
        <v>249</v>
      </c>
      <c r="D116" s="5" t="s">
        <v>263</v>
      </c>
      <c r="E116" s="5" t="s">
        <v>278</v>
      </c>
      <c r="F116" s="5"/>
      <c r="G116" s="5"/>
    </row>
    <row r="117" spans="1:7" ht="30" x14ac:dyDescent="0.25">
      <c r="A117" s="5" t="s">
        <v>279</v>
      </c>
      <c r="B117" s="5" t="s">
        <v>262</v>
      </c>
      <c r="C117" s="5" t="s">
        <v>249</v>
      </c>
      <c r="D117" s="5" t="s">
        <v>263</v>
      </c>
      <c r="E117" s="5" t="s">
        <v>280</v>
      </c>
      <c r="F117" s="5"/>
      <c r="G117" s="5"/>
    </row>
    <row r="118" spans="1:7" ht="45" x14ac:dyDescent="0.25">
      <c r="A118" s="5" t="s">
        <v>281</v>
      </c>
      <c r="B118" s="5" t="s">
        <v>282</v>
      </c>
      <c r="C118" s="5" t="s">
        <v>249</v>
      </c>
      <c r="D118" s="5" t="s">
        <v>283</v>
      </c>
      <c r="E118" s="5" t="s">
        <v>284</v>
      </c>
      <c r="F118" s="5"/>
      <c r="G118" s="5"/>
    </row>
    <row r="119" spans="1:7" ht="45" x14ac:dyDescent="0.25">
      <c r="A119" s="5" t="s">
        <v>285</v>
      </c>
      <c r="B119" s="5" t="s">
        <v>282</v>
      </c>
      <c r="C119" s="5" t="s">
        <v>249</v>
      </c>
      <c r="D119" s="5" t="s">
        <v>283</v>
      </c>
      <c r="E119" s="5" t="s">
        <v>286</v>
      </c>
      <c r="F119" s="5"/>
      <c r="G119" s="5"/>
    </row>
    <row r="120" spans="1:7" ht="30" x14ac:dyDescent="0.25">
      <c r="A120" s="5" t="s">
        <v>287</v>
      </c>
      <c r="B120" s="5" t="s">
        <v>282</v>
      </c>
      <c r="C120" s="5" t="s">
        <v>249</v>
      </c>
      <c r="D120" s="5" t="s">
        <v>283</v>
      </c>
      <c r="E120" s="5" t="s">
        <v>288</v>
      </c>
      <c r="F120" s="5"/>
      <c r="G120" s="5"/>
    </row>
    <row r="121" spans="1:7" ht="30" x14ac:dyDescent="0.25">
      <c r="A121" s="5" t="s">
        <v>289</v>
      </c>
      <c r="B121" s="5" t="s">
        <v>282</v>
      </c>
      <c r="C121" s="5" t="s">
        <v>249</v>
      </c>
      <c r="D121" s="5" t="s">
        <v>283</v>
      </c>
      <c r="E121" s="5" t="s">
        <v>290</v>
      </c>
      <c r="F121" s="5"/>
      <c r="G121" s="5"/>
    </row>
    <row r="122" spans="1:7" ht="30" x14ac:dyDescent="0.25">
      <c r="A122" s="5" t="s">
        <v>291</v>
      </c>
      <c r="B122" s="5" t="s">
        <v>282</v>
      </c>
      <c r="C122" s="5" t="s">
        <v>249</v>
      </c>
      <c r="D122" s="5" t="s">
        <v>283</v>
      </c>
      <c r="E122" s="5" t="s">
        <v>292</v>
      </c>
      <c r="F122" s="5"/>
      <c r="G122" s="5"/>
    </row>
    <row r="123" spans="1:7" ht="30" x14ac:dyDescent="0.25">
      <c r="A123" s="5" t="s">
        <v>293</v>
      </c>
      <c r="B123" s="5" t="s">
        <v>282</v>
      </c>
      <c r="C123" s="5" t="s">
        <v>249</v>
      </c>
      <c r="D123" s="5" t="s">
        <v>283</v>
      </c>
      <c r="E123" s="5" t="s">
        <v>294</v>
      </c>
      <c r="F123" s="5"/>
      <c r="G123" s="5"/>
    </row>
    <row r="124" spans="1:7" ht="30" x14ac:dyDescent="0.25">
      <c r="A124" s="5" t="s">
        <v>295</v>
      </c>
      <c r="B124" s="5" t="s">
        <v>282</v>
      </c>
      <c r="C124" s="5" t="s">
        <v>249</v>
      </c>
      <c r="D124" s="5" t="s">
        <v>283</v>
      </c>
      <c r="E124" s="5" t="s">
        <v>296</v>
      </c>
      <c r="F124" s="5"/>
      <c r="G124" s="5"/>
    </row>
    <row r="125" spans="1:7" ht="30" x14ac:dyDescent="0.25">
      <c r="A125" s="5" t="s">
        <v>297</v>
      </c>
      <c r="B125" s="5" t="s">
        <v>282</v>
      </c>
      <c r="C125" s="5" t="s">
        <v>249</v>
      </c>
      <c r="D125" s="5" t="s">
        <v>283</v>
      </c>
      <c r="E125" s="5" t="s">
        <v>298</v>
      </c>
      <c r="F125" s="5"/>
      <c r="G125" s="5"/>
    </row>
    <row r="126" spans="1:7" ht="30" x14ac:dyDescent="0.25">
      <c r="A126" s="5" t="s">
        <v>299</v>
      </c>
      <c r="B126" s="5" t="s">
        <v>282</v>
      </c>
      <c r="C126" s="5" t="s">
        <v>249</v>
      </c>
      <c r="D126" s="5" t="s">
        <v>283</v>
      </c>
      <c r="E126" s="5" t="s">
        <v>300</v>
      </c>
      <c r="F126" s="5"/>
      <c r="G126" s="5"/>
    </row>
    <row r="127" spans="1:7" ht="30" x14ac:dyDescent="0.25">
      <c r="A127" s="5" t="s">
        <v>301</v>
      </c>
      <c r="B127" s="5" t="s">
        <v>282</v>
      </c>
      <c r="C127" s="5" t="s">
        <v>249</v>
      </c>
      <c r="D127" s="5" t="s">
        <v>283</v>
      </c>
      <c r="E127" s="5" t="s">
        <v>302</v>
      </c>
      <c r="F127" s="5"/>
      <c r="G127" s="5"/>
    </row>
    <row r="128" spans="1:7" ht="30" x14ac:dyDescent="0.25">
      <c r="A128" s="5" t="s">
        <v>303</v>
      </c>
      <c r="B128" s="5" t="s">
        <v>282</v>
      </c>
      <c r="C128" s="5"/>
      <c r="D128" s="5"/>
      <c r="E128" s="5" t="s">
        <v>304</v>
      </c>
      <c r="F128" s="5"/>
      <c r="G128" s="5"/>
    </row>
    <row r="129" spans="1:7" ht="30" x14ac:dyDescent="0.25">
      <c r="A129" s="5" t="s">
        <v>305</v>
      </c>
      <c r="B129" s="5" t="s">
        <v>306</v>
      </c>
      <c r="C129" s="5" t="s">
        <v>249</v>
      </c>
      <c r="D129" s="5" t="s">
        <v>307</v>
      </c>
      <c r="E129" s="5" t="s">
        <v>308</v>
      </c>
      <c r="F129" s="5"/>
      <c r="G129" s="5"/>
    </row>
    <row r="130" spans="1:7" ht="30" x14ac:dyDescent="0.25">
      <c r="A130" s="5" t="s">
        <v>309</v>
      </c>
      <c r="B130" s="5" t="s">
        <v>306</v>
      </c>
      <c r="C130" s="5" t="s">
        <v>249</v>
      </c>
      <c r="D130" s="5" t="s">
        <v>307</v>
      </c>
      <c r="E130" s="5" t="s">
        <v>310</v>
      </c>
      <c r="F130" s="5"/>
      <c r="G130" s="5"/>
    </row>
    <row r="131" spans="1:7" ht="30" x14ac:dyDescent="0.25">
      <c r="A131" s="5" t="s">
        <v>311</v>
      </c>
      <c r="B131" s="5" t="s">
        <v>306</v>
      </c>
      <c r="C131" s="5" t="s">
        <v>249</v>
      </c>
      <c r="D131" s="5" t="s">
        <v>307</v>
      </c>
      <c r="E131" s="5" t="s">
        <v>312</v>
      </c>
      <c r="F131" s="5"/>
      <c r="G131" s="5"/>
    </row>
    <row r="132" spans="1:7" ht="45" x14ac:dyDescent="0.25">
      <c r="A132" s="5" t="s">
        <v>313</v>
      </c>
      <c r="B132" s="5" t="s">
        <v>306</v>
      </c>
      <c r="C132" s="5" t="s">
        <v>249</v>
      </c>
      <c r="D132" s="5" t="s">
        <v>307</v>
      </c>
      <c r="E132" s="5" t="s">
        <v>314</v>
      </c>
      <c r="F132" s="5"/>
      <c r="G132" s="5"/>
    </row>
    <row r="133" spans="1:7" ht="30" x14ac:dyDescent="0.25">
      <c r="A133" s="5" t="s">
        <v>315</v>
      </c>
      <c r="B133" s="5" t="s">
        <v>306</v>
      </c>
      <c r="C133" s="5" t="s">
        <v>249</v>
      </c>
      <c r="D133" s="5" t="s">
        <v>307</v>
      </c>
      <c r="E133" s="5" t="s">
        <v>316</v>
      </c>
      <c r="F133" s="5"/>
      <c r="G133" s="5"/>
    </row>
    <row r="134" spans="1:7" ht="30" x14ac:dyDescent="0.25">
      <c r="A134" s="5" t="s">
        <v>317</v>
      </c>
      <c r="B134" s="5" t="s">
        <v>306</v>
      </c>
      <c r="C134" s="5" t="s">
        <v>249</v>
      </c>
      <c r="D134" s="5" t="s">
        <v>307</v>
      </c>
      <c r="E134" s="5" t="s">
        <v>318</v>
      </c>
      <c r="F134" s="5"/>
      <c r="G134" s="5"/>
    </row>
    <row r="135" spans="1:7" ht="30" x14ac:dyDescent="0.25">
      <c r="A135" s="5" t="s">
        <v>319</v>
      </c>
      <c r="B135" s="5" t="s">
        <v>306</v>
      </c>
      <c r="C135" s="5" t="s">
        <v>249</v>
      </c>
      <c r="D135" s="5" t="s">
        <v>307</v>
      </c>
      <c r="E135" s="5" t="s">
        <v>320</v>
      </c>
      <c r="F135" s="5"/>
      <c r="G135" s="5"/>
    </row>
    <row r="136" spans="1:7" ht="30" x14ac:dyDescent="0.25">
      <c r="A136" s="5" t="s">
        <v>321</v>
      </c>
      <c r="B136" s="5" t="s">
        <v>322</v>
      </c>
      <c r="C136" s="5" t="s">
        <v>249</v>
      </c>
      <c r="D136" s="5" t="s">
        <v>307</v>
      </c>
      <c r="E136" s="5" t="s">
        <v>323</v>
      </c>
      <c r="F136" s="5"/>
      <c r="G136" s="5"/>
    </row>
    <row r="137" spans="1:7" ht="30" x14ac:dyDescent="0.25">
      <c r="A137" s="5" t="s">
        <v>324</v>
      </c>
      <c r="B137" s="5" t="s">
        <v>325</v>
      </c>
      <c r="C137" s="5" t="s">
        <v>249</v>
      </c>
      <c r="D137" s="5" t="s">
        <v>307</v>
      </c>
      <c r="E137" s="5" t="s">
        <v>326</v>
      </c>
      <c r="F137" s="5"/>
      <c r="G137" s="5"/>
    </row>
    <row r="138" spans="1:7" ht="30" x14ac:dyDescent="0.25">
      <c r="A138" s="5" t="s">
        <v>327</v>
      </c>
      <c r="B138" s="5" t="s">
        <v>328</v>
      </c>
      <c r="C138" s="5" t="s">
        <v>249</v>
      </c>
      <c r="D138" s="5" t="s">
        <v>307</v>
      </c>
      <c r="E138" s="5" t="s">
        <v>329</v>
      </c>
      <c r="F138" s="5"/>
      <c r="G138" s="5"/>
    </row>
    <row r="139" spans="1:7" ht="30" x14ac:dyDescent="0.25">
      <c r="A139" s="5" t="s">
        <v>330</v>
      </c>
      <c r="B139" s="5" t="s">
        <v>331</v>
      </c>
      <c r="C139" s="5" t="s">
        <v>249</v>
      </c>
      <c r="D139" s="5" t="s">
        <v>307</v>
      </c>
      <c r="E139" s="5" t="s">
        <v>332</v>
      </c>
      <c r="F139" s="5"/>
      <c r="G139" s="5"/>
    </row>
    <row r="140" spans="1:7" ht="30" x14ac:dyDescent="0.25">
      <c r="A140" s="5" t="s">
        <v>333</v>
      </c>
      <c r="B140" s="5" t="s">
        <v>334</v>
      </c>
      <c r="C140" s="5" t="s">
        <v>249</v>
      </c>
      <c r="D140" s="5" t="s">
        <v>307</v>
      </c>
      <c r="E140" s="5" t="s">
        <v>335</v>
      </c>
      <c r="F140" s="5"/>
      <c r="G140" s="5"/>
    </row>
    <row r="141" spans="1:7" ht="30" x14ac:dyDescent="0.25">
      <c r="A141" s="5" t="s">
        <v>336</v>
      </c>
      <c r="B141" s="5" t="s">
        <v>334</v>
      </c>
      <c r="C141" s="5" t="s">
        <v>249</v>
      </c>
      <c r="D141" s="5" t="s">
        <v>307</v>
      </c>
      <c r="E141" s="5" t="s">
        <v>337</v>
      </c>
      <c r="F141" s="5"/>
      <c r="G141" s="5"/>
    </row>
    <row r="142" spans="1:7" ht="30" x14ac:dyDescent="0.25">
      <c r="A142" s="5" t="s">
        <v>338</v>
      </c>
      <c r="B142" s="5" t="s">
        <v>334</v>
      </c>
      <c r="C142" s="5" t="s">
        <v>249</v>
      </c>
      <c r="D142" s="5" t="s">
        <v>307</v>
      </c>
      <c r="E142" s="5" t="s">
        <v>339</v>
      </c>
      <c r="F142" s="5"/>
      <c r="G142" s="5"/>
    </row>
    <row r="143" spans="1:7" ht="30" x14ac:dyDescent="0.25">
      <c r="A143" s="5" t="s">
        <v>340</v>
      </c>
      <c r="B143" s="5" t="s">
        <v>334</v>
      </c>
      <c r="C143" s="5" t="s">
        <v>249</v>
      </c>
      <c r="D143" s="5" t="s">
        <v>307</v>
      </c>
      <c r="E143" s="5" t="s">
        <v>341</v>
      </c>
      <c r="F143" s="5"/>
      <c r="G143" s="5"/>
    </row>
    <row r="144" spans="1:7" ht="30" x14ac:dyDescent="0.25">
      <c r="A144" s="5" t="s">
        <v>342</v>
      </c>
      <c r="B144" s="5" t="s">
        <v>343</v>
      </c>
      <c r="C144" s="5" t="s">
        <v>249</v>
      </c>
      <c r="D144" s="5" t="s">
        <v>307</v>
      </c>
      <c r="E144" s="5" t="s">
        <v>344</v>
      </c>
      <c r="F144" s="5"/>
      <c r="G144" s="5"/>
    </row>
    <row r="145" spans="1:7" ht="30" x14ac:dyDescent="0.25">
      <c r="A145" s="5" t="s">
        <v>345</v>
      </c>
      <c r="B145" s="5" t="s">
        <v>343</v>
      </c>
      <c r="C145" s="5" t="s">
        <v>249</v>
      </c>
      <c r="D145" s="5" t="s">
        <v>307</v>
      </c>
      <c r="E145" s="5" t="s">
        <v>346</v>
      </c>
      <c r="F145" s="5"/>
      <c r="G145" s="5"/>
    </row>
    <row r="146" spans="1:7" ht="30" x14ac:dyDescent="0.25">
      <c r="A146" s="5" t="s">
        <v>347</v>
      </c>
      <c r="B146" s="5" t="s">
        <v>348</v>
      </c>
      <c r="C146" s="5" t="s">
        <v>349</v>
      </c>
      <c r="D146" s="5" t="s">
        <v>350</v>
      </c>
      <c r="E146" s="5" t="s">
        <v>351</v>
      </c>
      <c r="F146" s="5"/>
      <c r="G146" s="5"/>
    </row>
    <row r="147" spans="1:7" ht="30" x14ac:dyDescent="0.25">
      <c r="A147" s="5" t="s">
        <v>352</v>
      </c>
      <c r="B147" s="5" t="s">
        <v>348</v>
      </c>
      <c r="C147" s="5" t="s">
        <v>349</v>
      </c>
      <c r="D147" s="5" t="s">
        <v>350</v>
      </c>
      <c r="E147" s="5" t="s">
        <v>353</v>
      </c>
      <c r="F147" s="5"/>
      <c r="G147" s="5"/>
    </row>
    <row r="148" spans="1:7" ht="30" x14ac:dyDescent="0.25">
      <c r="A148" s="5" t="s">
        <v>354</v>
      </c>
      <c r="B148" s="5" t="s">
        <v>348</v>
      </c>
      <c r="C148" s="5" t="s">
        <v>349</v>
      </c>
      <c r="D148" s="5" t="s">
        <v>350</v>
      </c>
      <c r="E148" s="5" t="s">
        <v>355</v>
      </c>
      <c r="F148" s="5"/>
      <c r="G148" s="5"/>
    </row>
    <row r="149" spans="1:7" ht="30" x14ac:dyDescent="0.25">
      <c r="A149" s="5" t="s">
        <v>356</v>
      </c>
      <c r="B149" s="5" t="s">
        <v>348</v>
      </c>
      <c r="C149" s="5" t="s">
        <v>349</v>
      </c>
      <c r="D149" s="5" t="s">
        <v>350</v>
      </c>
      <c r="E149" s="5" t="s">
        <v>357</v>
      </c>
      <c r="F149" s="5"/>
      <c r="G149" s="5"/>
    </row>
    <row r="150" spans="1:7" ht="30" x14ac:dyDescent="0.25">
      <c r="A150" s="5" t="s">
        <v>358</v>
      </c>
      <c r="B150" s="5" t="s">
        <v>348</v>
      </c>
      <c r="C150" s="5" t="s">
        <v>349</v>
      </c>
      <c r="D150" s="5" t="s">
        <v>350</v>
      </c>
      <c r="E150" s="5" t="s">
        <v>359</v>
      </c>
      <c r="F150" s="5"/>
      <c r="G150" s="5"/>
    </row>
    <row r="151" spans="1:7" ht="30" x14ac:dyDescent="0.25">
      <c r="A151" s="5" t="s">
        <v>360</v>
      </c>
      <c r="B151" s="5" t="s">
        <v>348</v>
      </c>
      <c r="C151" s="5" t="s">
        <v>349</v>
      </c>
      <c r="D151" s="5" t="s">
        <v>350</v>
      </c>
      <c r="E151" s="5" t="s">
        <v>361</v>
      </c>
      <c r="F151" s="5"/>
      <c r="G151" s="5"/>
    </row>
    <row r="152" spans="1:7" ht="45" x14ac:dyDescent="0.25">
      <c r="A152" s="5" t="s">
        <v>362</v>
      </c>
      <c r="B152" s="5" t="s">
        <v>348</v>
      </c>
      <c r="C152" s="5" t="s">
        <v>349</v>
      </c>
      <c r="D152" s="5" t="s">
        <v>350</v>
      </c>
      <c r="E152" s="5" t="s">
        <v>363</v>
      </c>
      <c r="F152" s="5"/>
      <c r="G152" s="5"/>
    </row>
    <row r="153" spans="1:7" ht="30" x14ac:dyDescent="0.25">
      <c r="A153" s="5" t="s">
        <v>364</v>
      </c>
      <c r="B153" s="5" t="s">
        <v>348</v>
      </c>
      <c r="C153" s="5" t="s">
        <v>349</v>
      </c>
      <c r="D153" s="5" t="s">
        <v>350</v>
      </c>
      <c r="E153" s="5" t="s">
        <v>365</v>
      </c>
      <c r="F153" s="5"/>
      <c r="G153" s="5"/>
    </row>
    <row r="154" spans="1:7" ht="45" x14ac:dyDescent="0.25">
      <c r="A154" s="5" t="s">
        <v>366</v>
      </c>
      <c r="B154" s="5" t="s">
        <v>348</v>
      </c>
      <c r="C154" s="5" t="s">
        <v>349</v>
      </c>
      <c r="D154" s="5" t="s">
        <v>350</v>
      </c>
      <c r="E154" s="5" t="s">
        <v>367</v>
      </c>
      <c r="F154" s="5"/>
      <c r="G154" s="5"/>
    </row>
    <row r="155" spans="1:7" ht="30" x14ac:dyDescent="0.25">
      <c r="A155" s="5" t="s">
        <v>368</v>
      </c>
      <c r="B155" s="5" t="s">
        <v>369</v>
      </c>
      <c r="C155" s="5" t="s">
        <v>349</v>
      </c>
      <c r="D155" s="5" t="s">
        <v>350</v>
      </c>
      <c r="E155" s="5" t="s">
        <v>370</v>
      </c>
      <c r="F155" s="5"/>
      <c r="G155" s="5"/>
    </row>
    <row r="156" spans="1:7" ht="30" x14ac:dyDescent="0.25">
      <c r="A156" s="5" t="s">
        <v>371</v>
      </c>
      <c r="B156" s="5" t="s">
        <v>369</v>
      </c>
      <c r="C156" s="5" t="s">
        <v>349</v>
      </c>
      <c r="D156" s="5" t="s">
        <v>350</v>
      </c>
      <c r="E156" s="5" t="s">
        <v>372</v>
      </c>
      <c r="F156" s="5"/>
      <c r="G156" s="5"/>
    </row>
    <row r="157" spans="1:7" ht="30" x14ac:dyDescent="0.25">
      <c r="A157" s="5" t="s">
        <v>373</v>
      </c>
      <c r="B157" s="5" t="s">
        <v>369</v>
      </c>
      <c r="C157" s="5" t="s">
        <v>349</v>
      </c>
      <c r="D157" s="5" t="s">
        <v>350</v>
      </c>
      <c r="E157" s="5" t="s">
        <v>374</v>
      </c>
      <c r="F157" s="5"/>
      <c r="G157" s="5"/>
    </row>
    <row r="158" spans="1:7" ht="30" x14ac:dyDescent="0.25">
      <c r="A158" s="5" t="s">
        <v>375</v>
      </c>
      <c r="B158" s="5" t="s">
        <v>369</v>
      </c>
      <c r="C158" s="5" t="s">
        <v>349</v>
      </c>
      <c r="D158" s="5" t="s">
        <v>350</v>
      </c>
      <c r="E158" s="5" t="s">
        <v>376</v>
      </c>
      <c r="F158" s="5"/>
      <c r="G158" s="5"/>
    </row>
    <row r="159" spans="1:7" ht="30" x14ac:dyDescent="0.25">
      <c r="A159" s="5" t="s">
        <v>377</v>
      </c>
      <c r="B159" s="5" t="s">
        <v>369</v>
      </c>
      <c r="C159" s="5" t="s">
        <v>349</v>
      </c>
      <c r="D159" s="5" t="s">
        <v>350</v>
      </c>
      <c r="E159" s="5" t="s">
        <v>378</v>
      </c>
      <c r="F159" s="5"/>
      <c r="G159" s="5"/>
    </row>
    <row r="160" spans="1:7" ht="30" x14ac:dyDescent="0.25">
      <c r="A160" s="5" t="s">
        <v>379</v>
      </c>
      <c r="B160" s="5" t="s">
        <v>369</v>
      </c>
      <c r="C160" s="5" t="s">
        <v>349</v>
      </c>
      <c r="D160" s="5" t="s">
        <v>350</v>
      </c>
      <c r="E160" s="5" t="s">
        <v>380</v>
      </c>
      <c r="F160" s="5"/>
      <c r="G160" s="5"/>
    </row>
    <row r="161" spans="1:7" ht="30" x14ac:dyDescent="0.25">
      <c r="A161" s="5" t="s">
        <v>381</v>
      </c>
      <c r="B161" s="5" t="s">
        <v>369</v>
      </c>
      <c r="C161" s="5" t="s">
        <v>349</v>
      </c>
      <c r="D161" s="5" t="s">
        <v>350</v>
      </c>
      <c r="E161" s="5" t="s">
        <v>382</v>
      </c>
      <c r="F161" s="5"/>
      <c r="G161" s="5"/>
    </row>
    <row r="162" spans="1:7" ht="30" x14ac:dyDescent="0.25">
      <c r="A162" s="5" t="s">
        <v>383</v>
      </c>
      <c r="B162" s="5" t="s">
        <v>369</v>
      </c>
      <c r="C162" s="5" t="s">
        <v>349</v>
      </c>
      <c r="D162" s="5" t="s">
        <v>350</v>
      </c>
      <c r="E162" s="5" t="s">
        <v>384</v>
      </c>
      <c r="F162" s="5"/>
      <c r="G162" s="5"/>
    </row>
    <row r="163" spans="1:7" ht="30" x14ac:dyDescent="0.25">
      <c r="A163" s="5" t="s">
        <v>385</v>
      </c>
      <c r="B163" s="5" t="s">
        <v>369</v>
      </c>
      <c r="C163" s="5" t="s">
        <v>349</v>
      </c>
      <c r="D163" s="5" t="s">
        <v>350</v>
      </c>
      <c r="E163" s="5" t="s">
        <v>386</v>
      </c>
      <c r="F163" s="5"/>
      <c r="G163" s="5"/>
    </row>
    <row r="164" spans="1:7" ht="30" x14ac:dyDescent="0.25">
      <c r="A164" s="5" t="s">
        <v>387</v>
      </c>
      <c r="B164" s="5" t="s">
        <v>388</v>
      </c>
      <c r="C164" s="5" t="s">
        <v>349</v>
      </c>
      <c r="D164" s="5" t="s">
        <v>389</v>
      </c>
      <c r="E164" s="5" t="s">
        <v>390</v>
      </c>
      <c r="F164" s="5"/>
      <c r="G164" s="5"/>
    </row>
    <row r="165" spans="1:7" ht="30" x14ac:dyDescent="0.25">
      <c r="A165" s="5" t="s">
        <v>391</v>
      </c>
      <c r="B165" s="5" t="s">
        <v>388</v>
      </c>
      <c r="C165" s="5" t="s">
        <v>349</v>
      </c>
      <c r="D165" s="5" t="s">
        <v>389</v>
      </c>
      <c r="E165" s="5" t="s">
        <v>392</v>
      </c>
      <c r="F165" s="5"/>
      <c r="G165" s="5"/>
    </row>
    <row r="166" spans="1:7" ht="30" x14ac:dyDescent="0.25">
      <c r="A166" s="5" t="s">
        <v>393</v>
      </c>
      <c r="B166" s="5" t="s">
        <v>388</v>
      </c>
      <c r="C166" s="5" t="s">
        <v>349</v>
      </c>
      <c r="D166" s="5" t="s">
        <v>389</v>
      </c>
      <c r="E166" s="5" t="s">
        <v>394</v>
      </c>
      <c r="F166" s="5"/>
      <c r="G166" s="5"/>
    </row>
    <row r="167" spans="1:7" ht="30" x14ac:dyDescent="0.25">
      <c r="A167" s="5" t="s">
        <v>395</v>
      </c>
      <c r="B167" s="5" t="s">
        <v>388</v>
      </c>
      <c r="C167" s="5" t="s">
        <v>349</v>
      </c>
      <c r="D167" s="5" t="s">
        <v>389</v>
      </c>
      <c r="E167" s="5" t="s">
        <v>396</v>
      </c>
      <c r="F167" s="5"/>
      <c r="G167" s="5"/>
    </row>
    <row r="168" spans="1:7" ht="30" x14ac:dyDescent="0.25">
      <c r="A168" s="5" t="s">
        <v>397</v>
      </c>
      <c r="B168" s="5" t="s">
        <v>398</v>
      </c>
      <c r="C168" s="5" t="s">
        <v>349</v>
      </c>
      <c r="D168" s="5" t="s">
        <v>389</v>
      </c>
      <c r="E168" s="5" t="s">
        <v>399</v>
      </c>
      <c r="F168" s="5"/>
      <c r="G168" s="5"/>
    </row>
    <row r="169" spans="1:7" ht="30" x14ac:dyDescent="0.25">
      <c r="A169" s="5" t="s">
        <v>400</v>
      </c>
      <c r="B169" s="5" t="s">
        <v>398</v>
      </c>
      <c r="C169" s="5" t="s">
        <v>349</v>
      </c>
      <c r="D169" s="5" t="s">
        <v>389</v>
      </c>
      <c r="E169" s="5" t="s">
        <v>401</v>
      </c>
      <c r="F169" s="5"/>
      <c r="G169" s="5"/>
    </row>
    <row r="170" spans="1:7" ht="30" x14ac:dyDescent="0.25">
      <c r="A170" s="5" t="s">
        <v>402</v>
      </c>
      <c r="B170" s="5" t="s">
        <v>398</v>
      </c>
      <c r="C170" s="5" t="s">
        <v>349</v>
      </c>
      <c r="D170" s="5" t="s">
        <v>389</v>
      </c>
      <c r="E170" s="5" t="s">
        <v>403</v>
      </c>
      <c r="F170" s="5"/>
      <c r="G170" s="5"/>
    </row>
    <row r="171" spans="1:7" ht="30" x14ac:dyDescent="0.25">
      <c r="A171" s="5" t="s">
        <v>404</v>
      </c>
      <c r="B171" s="5" t="s">
        <v>405</v>
      </c>
      <c r="C171" s="5" t="s">
        <v>349</v>
      </c>
      <c r="D171" s="5" t="s">
        <v>406</v>
      </c>
      <c r="E171" s="5" t="s">
        <v>407</v>
      </c>
      <c r="F171" s="5"/>
      <c r="G171" s="5"/>
    </row>
    <row r="172" spans="1:7" ht="60" x14ac:dyDescent="0.25">
      <c r="A172" s="5" t="s">
        <v>408</v>
      </c>
      <c r="B172" s="5" t="s">
        <v>409</v>
      </c>
      <c r="C172" s="5" t="s">
        <v>349</v>
      </c>
      <c r="D172" s="5" t="s">
        <v>410</v>
      </c>
      <c r="E172" s="5" t="s">
        <v>411</v>
      </c>
      <c r="F172" s="5"/>
      <c r="G172" s="5"/>
    </row>
    <row r="173" spans="1:7" ht="30" x14ac:dyDescent="0.25">
      <c r="A173" s="5" t="s">
        <v>412</v>
      </c>
      <c r="B173" s="5" t="s">
        <v>409</v>
      </c>
      <c r="C173" s="5" t="s">
        <v>349</v>
      </c>
      <c r="D173" s="5" t="s">
        <v>410</v>
      </c>
      <c r="E173" s="5" t="s">
        <v>413</v>
      </c>
      <c r="F173" s="5"/>
      <c r="G173" s="5"/>
    </row>
    <row r="174" spans="1:7" ht="30" x14ac:dyDescent="0.25">
      <c r="A174" s="5" t="s">
        <v>414</v>
      </c>
      <c r="B174" s="5" t="s">
        <v>409</v>
      </c>
      <c r="C174" s="5" t="s">
        <v>349</v>
      </c>
      <c r="D174" s="5" t="s">
        <v>410</v>
      </c>
      <c r="E174" s="5" t="s">
        <v>415</v>
      </c>
      <c r="F174" s="5"/>
      <c r="G174" s="5"/>
    </row>
    <row r="175" spans="1:7" ht="30" x14ac:dyDescent="0.25">
      <c r="A175" s="5" t="s">
        <v>416</v>
      </c>
      <c r="B175" s="5" t="s">
        <v>409</v>
      </c>
      <c r="C175" s="5" t="s">
        <v>349</v>
      </c>
      <c r="D175" s="5" t="s">
        <v>410</v>
      </c>
      <c r="E175" s="5" t="s">
        <v>417</v>
      </c>
      <c r="F175" s="5"/>
      <c r="G175" s="5"/>
    </row>
    <row r="176" spans="1:7" ht="30" x14ac:dyDescent="0.25">
      <c r="A176" s="5" t="s">
        <v>418</v>
      </c>
      <c r="B176" s="5" t="s">
        <v>419</v>
      </c>
      <c r="C176" s="5" t="s">
        <v>349</v>
      </c>
      <c r="D176" s="5" t="s">
        <v>410</v>
      </c>
      <c r="E176" s="5" t="s">
        <v>420</v>
      </c>
      <c r="F176" s="5"/>
      <c r="G176" s="5"/>
    </row>
    <row r="177" spans="1:7" ht="30" x14ac:dyDescent="0.25">
      <c r="A177" s="5" t="s">
        <v>421</v>
      </c>
      <c r="B177" s="5" t="s">
        <v>422</v>
      </c>
      <c r="C177" s="5" t="s">
        <v>349</v>
      </c>
      <c r="D177" s="5" t="s">
        <v>410</v>
      </c>
      <c r="E177" s="5" t="s">
        <v>423</v>
      </c>
      <c r="F177" s="5"/>
      <c r="G177" s="5"/>
    </row>
    <row r="178" spans="1:7" ht="30" x14ac:dyDescent="0.25">
      <c r="A178" s="5" t="s">
        <v>424</v>
      </c>
      <c r="B178" s="5" t="s">
        <v>422</v>
      </c>
      <c r="C178" s="5" t="s">
        <v>349</v>
      </c>
      <c r="D178" s="5" t="s">
        <v>410</v>
      </c>
      <c r="E178" s="5" t="s">
        <v>425</v>
      </c>
      <c r="F178" s="5"/>
      <c r="G178" s="5"/>
    </row>
    <row r="179" spans="1:7" ht="30" x14ac:dyDescent="0.25">
      <c r="A179" s="5" t="s">
        <v>426</v>
      </c>
      <c r="B179" s="5" t="s">
        <v>422</v>
      </c>
      <c r="C179" s="5" t="s">
        <v>349</v>
      </c>
      <c r="D179" s="5" t="s">
        <v>410</v>
      </c>
      <c r="E179" s="5" t="s">
        <v>427</v>
      </c>
      <c r="F179" s="5"/>
      <c r="G179" s="5"/>
    </row>
    <row r="180" spans="1:7" ht="30" x14ac:dyDescent="0.25">
      <c r="A180" s="5" t="s">
        <v>428</v>
      </c>
      <c r="B180" s="5" t="s">
        <v>429</v>
      </c>
      <c r="C180" s="5" t="s">
        <v>430</v>
      </c>
      <c r="D180" s="5" t="s">
        <v>431</v>
      </c>
      <c r="E180" s="5" t="s">
        <v>432</v>
      </c>
      <c r="F180" s="5"/>
      <c r="G180" s="5"/>
    </row>
    <row r="181" spans="1:7" ht="30" x14ac:dyDescent="0.25">
      <c r="A181" s="5" t="s">
        <v>433</v>
      </c>
      <c r="B181" s="5" t="s">
        <v>429</v>
      </c>
      <c r="C181" s="5" t="s">
        <v>430</v>
      </c>
      <c r="D181" s="5" t="s">
        <v>431</v>
      </c>
      <c r="E181" s="5" t="s">
        <v>434</v>
      </c>
      <c r="F181" s="5"/>
      <c r="G181" s="5"/>
    </row>
    <row r="182" spans="1:7" ht="30" x14ac:dyDescent="0.25">
      <c r="A182" s="5" t="s">
        <v>435</v>
      </c>
      <c r="B182" s="5" t="s">
        <v>429</v>
      </c>
      <c r="C182" s="5" t="s">
        <v>430</v>
      </c>
      <c r="D182" s="5" t="s">
        <v>431</v>
      </c>
      <c r="E182" s="5" t="s">
        <v>436</v>
      </c>
      <c r="F182" s="5"/>
      <c r="G182" s="5"/>
    </row>
    <row r="183" spans="1:7" ht="30" x14ac:dyDescent="0.25">
      <c r="A183" s="5" t="s">
        <v>437</v>
      </c>
      <c r="B183" s="5" t="s">
        <v>429</v>
      </c>
      <c r="C183" s="5" t="s">
        <v>430</v>
      </c>
      <c r="D183" s="5" t="s">
        <v>431</v>
      </c>
      <c r="E183" s="5" t="s">
        <v>438</v>
      </c>
      <c r="F183" s="5"/>
      <c r="G183" s="5"/>
    </row>
    <row r="184" spans="1:7" ht="30" x14ac:dyDescent="0.25">
      <c r="A184" s="5" t="s">
        <v>439</v>
      </c>
      <c r="B184" s="5" t="s">
        <v>429</v>
      </c>
      <c r="C184" s="5" t="s">
        <v>430</v>
      </c>
      <c r="D184" s="5" t="s">
        <v>431</v>
      </c>
      <c r="E184" s="5" t="s">
        <v>440</v>
      </c>
      <c r="F184" s="5"/>
      <c r="G184" s="5"/>
    </row>
    <row r="185" spans="1:7" ht="30" x14ac:dyDescent="0.25">
      <c r="A185" s="5" t="s">
        <v>441</v>
      </c>
      <c r="B185" s="5" t="s">
        <v>442</v>
      </c>
      <c r="C185" s="5" t="s">
        <v>430</v>
      </c>
      <c r="D185" s="5" t="s">
        <v>431</v>
      </c>
      <c r="E185" s="5" t="s">
        <v>443</v>
      </c>
      <c r="F185" s="5"/>
      <c r="G185" s="5"/>
    </row>
    <row r="186" spans="1:7" ht="30" x14ac:dyDescent="0.25">
      <c r="A186" s="5" t="s">
        <v>444</v>
      </c>
      <c r="B186" s="5" t="s">
        <v>445</v>
      </c>
      <c r="C186" s="5" t="s">
        <v>430</v>
      </c>
      <c r="D186" s="5" t="s">
        <v>446</v>
      </c>
      <c r="E186" s="5" t="s">
        <v>447</v>
      </c>
      <c r="F186" s="5"/>
      <c r="G186" s="5"/>
    </row>
    <row r="187" spans="1:7" ht="30" x14ac:dyDescent="0.25">
      <c r="A187" s="5" t="s">
        <v>448</v>
      </c>
      <c r="B187" s="5" t="s">
        <v>445</v>
      </c>
      <c r="C187" s="5" t="s">
        <v>430</v>
      </c>
      <c r="D187" s="5" t="s">
        <v>446</v>
      </c>
      <c r="E187" s="5" t="s">
        <v>449</v>
      </c>
      <c r="F187" s="5"/>
      <c r="G187" s="5"/>
    </row>
    <row r="188" spans="1:7" ht="30" x14ac:dyDescent="0.25">
      <c r="A188" s="5" t="s">
        <v>450</v>
      </c>
      <c r="B188" s="5" t="s">
        <v>445</v>
      </c>
      <c r="C188" s="5" t="s">
        <v>430</v>
      </c>
      <c r="D188" s="5" t="s">
        <v>446</v>
      </c>
      <c r="E188" s="5" t="s">
        <v>451</v>
      </c>
      <c r="F188" s="5"/>
      <c r="G188" s="5"/>
    </row>
    <row r="189" spans="1:7" ht="30" x14ac:dyDescent="0.25">
      <c r="A189" s="5" t="s">
        <v>452</v>
      </c>
      <c r="B189" s="5" t="s">
        <v>453</v>
      </c>
      <c r="C189" s="5" t="s">
        <v>430</v>
      </c>
      <c r="D189" s="5" t="s">
        <v>446</v>
      </c>
      <c r="E189" s="5" t="s">
        <v>454</v>
      </c>
      <c r="F189" s="5"/>
      <c r="G189" s="5"/>
    </row>
    <row r="190" spans="1:7" ht="30" x14ac:dyDescent="0.25">
      <c r="A190" s="5" t="s">
        <v>455</v>
      </c>
      <c r="B190" s="5" t="s">
        <v>453</v>
      </c>
      <c r="C190" s="5" t="s">
        <v>430</v>
      </c>
      <c r="D190" s="5" t="s">
        <v>446</v>
      </c>
      <c r="E190" s="5" t="s">
        <v>456</v>
      </c>
      <c r="F190" s="5"/>
      <c r="G190" s="5"/>
    </row>
    <row r="191" spans="1:7" ht="30" x14ac:dyDescent="0.25">
      <c r="A191" s="5" t="s">
        <v>457</v>
      </c>
      <c r="B191" s="5" t="s">
        <v>458</v>
      </c>
      <c r="C191" s="5" t="s">
        <v>430</v>
      </c>
      <c r="D191" s="5" t="s">
        <v>446</v>
      </c>
      <c r="E191" s="5" t="s">
        <v>459</v>
      </c>
      <c r="F191" s="5"/>
      <c r="G191" s="5"/>
    </row>
    <row r="192" spans="1:7" ht="30" x14ac:dyDescent="0.25">
      <c r="A192" s="5" t="s">
        <v>460</v>
      </c>
      <c r="B192" s="5" t="s">
        <v>458</v>
      </c>
      <c r="C192" s="5" t="s">
        <v>430</v>
      </c>
      <c r="D192" s="5" t="s">
        <v>446</v>
      </c>
      <c r="E192" s="5" t="s">
        <v>461</v>
      </c>
      <c r="F192" s="5"/>
      <c r="G192" s="5"/>
    </row>
    <row r="193" spans="1:7" ht="30" x14ac:dyDescent="0.25">
      <c r="A193" s="5" t="s">
        <v>462</v>
      </c>
      <c r="B193" s="5" t="s">
        <v>458</v>
      </c>
      <c r="C193" s="5" t="s">
        <v>430</v>
      </c>
      <c r="D193" s="5" t="s">
        <v>446</v>
      </c>
      <c r="E193" s="5" t="s">
        <v>463</v>
      </c>
      <c r="F193" s="5"/>
      <c r="G193" s="5"/>
    </row>
    <row r="194" spans="1:7" ht="30" x14ac:dyDescent="0.25">
      <c r="A194" s="5" t="s">
        <v>464</v>
      </c>
      <c r="B194" s="5" t="s">
        <v>458</v>
      </c>
      <c r="C194" s="5" t="s">
        <v>430</v>
      </c>
      <c r="D194" s="5" t="s">
        <v>446</v>
      </c>
      <c r="E194" s="5" t="s">
        <v>465</v>
      </c>
      <c r="F194" s="5"/>
      <c r="G194" s="5"/>
    </row>
    <row r="195" spans="1:7" ht="45" x14ac:dyDescent="0.25">
      <c r="A195" s="5" t="s">
        <v>466</v>
      </c>
      <c r="B195" s="5" t="s">
        <v>458</v>
      </c>
      <c r="C195" s="5" t="s">
        <v>430</v>
      </c>
      <c r="D195" s="5" t="s">
        <v>446</v>
      </c>
      <c r="E195" s="5" t="s">
        <v>467</v>
      </c>
      <c r="F195" s="5"/>
      <c r="G195" s="5"/>
    </row>
    <row r="196" spans="1:7" ht="30" x14ac:dyDescent="0.25">
      <c r="A196" s="5" t="s">
        <v>468</v>
      </c>
      <c r="B196" s="5" t="s">
        <v>469</v>
      </c>
      <c r="C196" s="5" t="s">
        <v>430</v>
      </c>
      <c r="D196" s="5" t="s">
        <v>446</v>
      </c>
      <c r="E196" s="5" t="s">
        <v>470</v>
      </c>
      <c r="F196" s="5"/>
      <c r="G196" s="5"/>
    </row>
    <row r="197" spans="1:7" ht="30" x14ac:dyDescent="0.25">
      <c r="A197" s="5" t="s">
        <v>471</v>
      </c>
      <c r="B197" s="5" t="s">
        <v>469</v>
      </c>
      <c r="C197" s="5" t="s">
        <v>430</v>
      </c>
      <c r="D197" s="5" t="s">
        <v>446</v>
      </c>
      <c r="E197" s="5" t="s">
        <v>472</v>
      </c>
      <c r="F197" s="5"/>
      <c r="G197" s="5"/>
    </row>
    <row r="198" spans="1:7" ht="30" x14ac:dyDescent="0.25">
      <c r="A198" s="5" t="s">
        <v>473</v>
      </c>
      <c r="B198" s="5" t="s">
        <v>469</v>
      </c>
      <c r="C198" s="5" t="s">
        <v>430</v>
      </c>
      <c r="D198" s="5" t="s">
        <v>446</v>
      </c>
      <c r="E198" s="5" t="s">
        <v>474</v>
      </c>
      <c r="F198" s="5"/>
      <c r="G198" s="5"/>
    </row>
    <row r="199" spans="1:7" ht="30" x14ac:dyDescent="0.25">
      <c r="A199" s="5" t="s">
        <v>475</v>
      </c>
      <c r="B199" s="5" t="s">
        <v>476</v>
      </c>
      <c r="C199" s="5" t="s">
        <v>430</v>
      </c>
      <c r="D199" s="5" t="s">
        <v>446</v>
      </c>
      <c r="E199" s="5" t="s">
        <v>477</v>
      </c>
      <c r="F199" s="5"/>
      <c r="G199" s="5"/>
    </row>
  </sheetData>
  <sheetProtection sheet="1"/>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6"/>
  <sheetViews>
    <sheetView workbookViewId="0">
      <pane ySplit="1" topLeftCell="A2" activePane="bottomLeft" state="frozen"/>
      <selection pane="bottomLeft" activeCell="B4" sqref="B4"/>
    </sheetView>
  </sheetViews>
  <sheetFormatPr baseColWidth="10" defaultColWidth="8.85546875" defaultRowHeight="15" x14ac:dyDescent="0.25"/>
  <cols>
    <col min="1" max="1" width="16" customWidth="1"/>
    <col min="2" max="2" width="60" customWidth="1"/>
  </cols>
  <sheetData>
    <row r="1" spans="1:2" ht="30" x14ac:dyDescent="0.25">
      <c r="A1" s="4" t="s">
        <v>478</v>
      </c>
      <c r="B1" s="4" t="s">
        <v>479</v>
      </c>
    </row>
    <row r="2" spans="1:2" x14ac:dyDescent="0.25">
      <c r="A2" s="5" t="s">
        <v>480</v>
      </c>
      <c r="B2" s="5" t="s">
        <v>481</v>
      </c>
    </row>
    <row r="3" spans="1:2" x14ac:dyDescent="0.25">
      <c r="A3" s="5" t="s">
        <v>482</v>
      </c>
      <c r="B3" s="5" t="s">
        <v>483</v>
      </c>
    </row>
    <row r="4" spans="1:2" x14ac:dyDescent="0.25">
      <c r="A4" s="5" t="s">
        <v>484</v>
      </c>
      <c r="B4" s="5" t="s">
        <v>485</v>
      </c>
    </row>
    <row r="5" spans="1:2" x14ac:dyDescent="0.25">
      <c r="A5" s="5" t="s">
        <v>486</v>
      </c>
      <c r="B5" s="5" t="s">
        <v>487</v>
      </c>
    </row>
    <row r="6" spans="1:2" x14ac:dyDescent="0.25">
      <c r="A6" s="5" t="s">
        <v>488</v>
      </c>
      <c r="B6" s="5" t="s">
        <v>489</v>
      </c>
    </row>
  </sheetData>
  <sheetProtection sheet="1"/>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0"/>
  <sheetViews>
    <sheetView workbookViewId="0">
      <pane ySplit="1" topLeftCell="A2" activePane="bottomLeft" state="frozen"/>
      <selection pane="bottomLeft"/>
    </sheetView>
  </sheetViews>
  <sheetFormatPr baseColWidth="10" defaultColWidth="8.85546875" defaultRowHeight="15" x14ac:dyDescent="0.25"/>
  <cols>
    <col min="1" max="1" width="10" customWidth="1"/>
    <col min="2" max="2" width="14" customWidth="1"/>
    <col min="3" max="3" width="21" customWidth="1"/>
    <col min="4" max="4" width="18" customWidth="1"/>
  </cols>
  <sheetData>
    <row r="1" spans="1:4" ht="30" x14ac:dyDescent="0.25">
      <c r="A1" s="4" t="s">
        <v>490</v>
      </c>
      <c r="B1" s="4" t="s">
        <v>491</v>
      </c>
      <c r="C1" s="4" t="s">
        <v>492</v>
      </c>
      <c r="D1" s="4" t="s">
        <v>493</v>
      </c>
    </row>
    <row r="2" spans="1:4" x14ac:dyDescent="0.25">
      <c r="A2" s="5" t="s">
        <v>494</v>
      </c>
      <c r="B2" s="5" t="s">
        <v>495</v>
      </c>
      <c r="C2" s="5" t="s">
        <v>496</v>
      </c>
      <c r="D2" s="5" t="s">
        <v>497</v>
      </c>
    </row>
    <row r="3" spans="1:4" x14ac:dyDescent="0.25">
      <c r="A3" s="5" t="s">
        <v>498</v>
      </c>
      <c r="B3" s="5" t="s">
        <v>499</v>
      </c>
      <c r="C3" s="5" t="s">
        <v>500</v>
      </c>
      <c r="D3" s="5" t="s">
        <v>501</v>
      </c>
    </row>
    <row r="4" spans="1:4" x14ac:dyDescent="0.25">
      <c r="A4" s="5"/>
      <c r="B4" s="5" t="s">
        <v>502</v>
      </c>
      <c r="C4" s="5" t="s">
        <v>503</v>
      </c>
      <c r="D4" s="5" t="s">
        <v>504</v>
      </c>
    </row>
    <row r="5" spans="1:4" x14ac:dyDescent="0.25">
      <c r="A5" s="5"/>
      <c r="B5" s="5"/>
      <c r="C5" s="5" t="s">
        <v>505</v>
      </c>
      <c r="D5" s="5" t="s">
        <v>506</v>
      </c>
    </row>
    <row r="6" spans="1:4" x14ac:dyDescent="0.25">
      <c r="A6" s="5"/>
      <c r="B6" s="5"/>
      <c r="C6" s="5" t="s">
        <v>507</v>
      </c>
      <c r="D6" s="5" t="s">
        <v>508</v>
      </c>
    </row>
    <row r="7" spans="1:4" x14ac:dyDescent="0.25">
      <c r="A7" s="5"/>
      <c r="B7" s="5"/>
      <c r="C7" s="5" t="s">
        <v>509</v>
      </c>
      <c r="D7" s="5" t="s">
        <v>510</v>
      </c>
    </row>
    <row r="8" spans="1:4" x14ac:dyDescent="0.25">
      <c r="A8" s="5"/>
      <c r="B8" s="5"/>
      <c r="C8" s="5" t="s">
        <v>511</v>
      </c>
      <c r="D8" s="5" t="s">
        <v>512</v>
      </c>
    </row>
    <row r="9" spans="1:4" x14ac:dyDescent="0.25">
      <c r="A9" s="5"/>
      <c r="B9" s="5"/>
      <c r="C9" s="5" t="s">
        <v>513</v>
      </c>
      <c r="D9" s="5"/>
    </row>
    <row r="10" spans="1:4" x14ac:dyDescent="0.25">
      <c r="A10" s="5"/>
      <c r="B10" s="5"/>
      <c r="C10" s="5" t="s">
        <v>514</v>
      </c>
      <c r="D10" s="5"/>
    </row>
  </sheetData>
  <sheetProtection sheet="1"/>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U474"/>
  <sheetViews>
    <sheetView tabSelected="1" zoomScale="55" zoomScaleNormal="55" workbookViewId="0">
      <pane ySplit="1" topLeftCell="A370" activePane="bottomLeft" state="frozen"/>
      <selection activeCell="F1" sqref="F1"/>
      <selection pane="bottomLeft" activeCell="F398" sqref="F398"/>
    </sheetView>
  </sheetViews>
  <sheetFormatPr baseColWidth="10" defaultColWidth="8.85546875" defaultRowHeight="15" x14ac:dyDescent="0.25"/>
  <cols>
    <col min="1" max="3" width="25.7109375" customWidth="1"/>
    <col min="4" max="4" width="30.7109375" customWidth="1"/>
    <col min="5" max="6" width="60" customWidth="1"/>
    <col min="7" max="7" width="70" customWidth="1"/>
    <col min="8" max="8" width="21" style="13" customWidth="1"/>
    <col min="9" max="9" width="22" style="13" customWidth="1"/>
    <col min="10" max="10" width="54" customWidth="1"/>
    <col min="11" max="12" width="29.28515625" style="9" customWidth="1"/>
    <col min="13" max="13" width="54" customWidth="1"/>
    <col min="14" max="14" width="48.7109375" customWidth="1"/>
    <col min="15" max="15" width="24.28515625" customWidth="1"/>
    <col min="16" max="16" width="14.28515625" customWidth="1"/>
    <col min="17" max="17" width="17.28515625" customWidth="1"/>
    <col min="18" max="18" width="55" customWidth="1"/>
    <col min="19" max="19" width="20" customWidth="1"/>
    <col min="20" max="20" width="18" customWidth="1"/>
    <col min="21" max="21" width="16.140625" customWidth="1"/>
  </cols>
  <sheetData>
    <row r="1" spans="1:21" ht="30" x14ac:dyDescent="0.25">
      <c r="A1" s="4" t="s">
        <v>515</v>
      </c>
      <c r="B1" s="4" t="s">
        <v>479</v>
      </c>
      <c r="C1" s="4" t="s">
        <v>10</v>
      </c>
      <c r="D1" s="4" t="s">
        <v>11</v>
      </c>
      <c r="E1" s="4" t="s">
        <v>12</v>
      </c>
      <c r="F1" s="4" t="s">
        <v>13</v>
      </c>
      <c r="G1" s="4" t="s">
        <v>14</v>
      </c>
      <c r="H1" s="11" t="s">
        <v>516</v>
      </c>
      <c r="I1" s="11" t="s">
        <v>517</v>
      </c>
      <c r="J1" s="4" t="s">
        <v>518</v>
      </c>
      <c r="K1" s="7" t="s">
        <v>519</v>
      </c>
      <c r="L1" s="7" t="s">
        <v>520</v>
      </c>
      <c r="M1" s="4" t="s">
        <v>521</v>
      </c>
      <c r="N1" s="4" t="s">
        <v>522</v>
      </c>
      <c r="O1" s="4" t="s">
        <v>492</v>
      </c>
      <c r="P1" s="4" t="s">
        <v>523</v>
      </c>
      <c r="Q1" s="4" t="s">
        <v>493</v>
      </c>
      <c r="R1" s="4" t="s">
        <v>524</v>
      </c>
      <c r="S1" s="4" t="s">
        <v>525</v>
      </c>
      <c r="T1" s="4" t="s">
        <v>526</v>
      </c>
      <c r="U1" s="4" t="s">
        <v>527</v>
      </c>
    </row>
    <row r="2" spans="1:21" ht="60" x14ac:dyDescent="0.25">
      <c r="A2" s="5" t="s">
        <v>494</v>
      </c>
      <c r="B2" s="5" t="s">
        <v>483</v>
      </c>
      <c r="C2" s="5" t="s">
        <v>281</v>
      </c>
      <c r="D2" s="5" t="str">
        <f>IF($C2="","",INDEX(PLAN_DESARROLLO!$B:$B,MATCH($C2,PLAN_DESARROLLO!$A:$A,0)))</f>
        <v>2024257770021</v>
      </c>
      <c r="E2" s="5" t="str">
        <f>IF($C2="","",INDEX(PLAN_DESARROLLO!$C:$C,MATCH($C2,PLAN_DESARROLLO!$A:$A,0)))</f>
        <v>POR EL SUPATÁ SOÑADO AVANZAMOS JUNTOS EN LA LÍNEA ESTRATÉGICA ECONÓMICA</v>
      </c>
      <c r="F2" s="5" t="str">
        <f>IF($C2="","",INDEX(PLAN_DESARROLLO!$D:$D,MATCH($C2,PLAN_DESARROLLO!$A:$A,0)))</f>
        <v>TRANSPORTE</v>
      </c>
      <c r="G2" s="5" t="str">
        <f>IF($C2="","",INDEX(PLAN_DESARROLLO!$E:$E,MATCH($C2,PLAN_DESARROLLO!$A:$A,0)))</f>
        <v>Realizar mantenimiento rutinario de 50 Km de vías rurales del municipio (cuneteando, conformando, afirmado y compactado, según la necesidad) en el cuatrienio</v>
      </c>
      <c r="H2" s="12">
        <v>50</v>
      </c>
      <c r="I2" s="12">
        <v>120</v>
      </c>
      <c r="J2" s="6">
        <f t="shared" ref="J2:J7" si="0">IF(OR($H2="",$I2=""),"",IFERROR($I2/$H2,0))</f>
        <v>2.4</v>
      </c>
      <c r="K2" s="8">
        <v>600000000</v>
      </c>
      <c r="L2" s="8">
        <v>600000000</v>
      </c>
      <c r="M2" s="6">
        <f t="shared" ref="M2:M7" si="1">IF(OR($K2="",$L2=""),"",IFERROR($L2/$K2,0))</f>
        <v>1</v>
      </c>
      <c r="N2" s="5" t="s">
        <v>529</v>
      </c>
      <c r="O2" s="5" t="s">
        <v>496</v>
      </c>
      <c r="P2" s="5" t="s">
        <v>502</v>
      </c>
      <c r="Q2" s="5" t="s">
        <v>504</v>
      </c>
      <c r="R2" s="5"/>
      <c r="S2" s="5"/>
      <c r="T2" s="10">
        <f ca="1">IF($A2="","",TODAY())</f>
        <v>46059</v>
      </c>
      <c r="U2" s="5"/>
    </row>
    <row r="3" spans="1:21" ht="60" x14ac:dyDescent="0.25">
      <c r="A3" s="5" t="s">
        <v>498</v>
      </c>
      <c r="B3" s="5" t="s">
        <v>483</v>
      </c>
      <c r="C3" s="5" t="s">
        <v>281</v>
      </c>
      <c r="D3" s="5" t="str">
        <f>IF($C3="","",INDEX(PLAN_DESARROLLO!$B:$B,MATCH($C3,PLAN_DESARROLLO!$A:$A,0)))</f>
        <v>2024257770021</v>
      </c>
      <c r="E3" s="5" t="str">
        <f>IF($C3="","",INDEX(PLAN_DESARROLLO!$C:$C,MATCH($C3,PLAN_DESARROLLO!$A:$A,0)))</f>
        <v>POR EL SUPATÁ SOÑADO AVANZAMOS JUNTOS EN LA LÍNEA ESTRATÉGICA ECONÓMICA</v>
      </c>
      <c r="F3" s="5" t="str">
        <f>IF($C3="","",INDEX(PLAN_DESARROLLO!$D:$D,MATCH($C3,PLAN_DESARROLLO!$A:$A,0)))</f>
        <v>TRANSPORTE</v>
      </c>
      <c r="G3" s="5" t="str">
        <f>IF($C3="","",INDEX(PLAN_DESARROLLO!$E:$E,MATCH($C3,PLAN_DESARROLLO!$A:$A,0)))</f>
        <v>Realizar mantenimiento rutinario de 50 Km de vías rurales del municipio (cuneteando, conformando, afirmado y compactado, según la necesidad) en el cuatrienio</v>
      </c>
      <c r="H3" s="12">
        <v>50</v>
      </c>
      <c r="I3" s="12">
        <v>300</v>
      </c>
      <c r="J3" s="6">
        <f t="shared" si="0"/>
        <v>6</v>
      </c>
      <c r="K3" s="8">
        <v>600000000</v>
      </c>
      <c r="L3" s="8">
        <v>1500000000</v>
      </c>
      <c r="M3" s="6">
        <f t="shared" si="1"/>
        <v>2.5</v>
      </c>
      <c r="N3" s="5" t="s">
        <v>529</v>
      </c>
      <c r="O3" s="5" t="s">
        <v>496</v>
      </c>
      <c r="P3" s="5" t="s">
        <v>502</v>
      </c>
      <c r="Q3" s="5" t="s">
        <v>504</v>
      </c>
      <c r="R3" s="5"/>
      <c r="S3" s="5"/>
      <c r="T3" s="10">
        <f ca="1">IF($A3="","",TODAY())</f>
        <v>46059</v>
      </c>
      <c r="U3" s="5"/>
    </row>
    <row r="4" spans="1:21" ht="45" x14ac:dyDescent="0.25">
      <c r="A4" s="5" t="s">
        <v>494</v>
      </c>
      <c r="B4" s="5" t="s">
        <v>483</v>
      </c>
      <c r="C4" s="5" t="s">
        <v>285</v>
      </c>
      <c r="D4" s="5" t="str">
        <f>IF($C4="","",INDEX(PLAN_DESARROLLO!$B:$B,MATCH($C4,PLAN_DESARROLLO!$A:$A,0)))</f>
        <v>2024257770021</v>
      </c>
      <c r="E4" s="5" t="str">
        <f>IF($C4="","",INDEX(PLAN_DESARROLLO!$C:$C,MATCH($C4,PLAN_DESARROLLO!$A:$A,0)))</f>
        <v>POR EL SUPATÁ SOÑADO AVANZAMOS JUNTOS EN LA LÍNEA ESTRATÉGICA ECONÓMICA</v>
      </c>
      <c r="F4" s="5" t="str">
        <f>IF($C4="","",INDEX(PLAN_DESARROLLO!$D:$D,MATCH($C4,PLAN_DESARROLLO!$A:$A,0)))</f>
        <v>TRANSPORTE</v>
      </c>
      <c r="G4" s="5" t="str">
        <f>IF($C4="","",INDEX(PLAN_DESARROLLO!$E:$E,MATCH($C4,PLAN_DESARROLLO!$A:$A,0)))</f>
        <v>Realizar el mejoramiento, adecuación de vías en la zona rural a través de la construcción de 1.000 ML de placa huellas en concreto o pavimentación, en el cuatrienio</v>
      </c>
      <c r="H4" s="12">
        <v>1000</v>
      </c>
      <c r="I4" s="12">
        <v>400</v>
      </c>
      <c r="J4" s="6">
        <f t="shared" si="0"/>
        <v>0.4</v>
      </c>
      <c r="K4" s="8">
        <v>600000000</v>
      </c>
      <c r="L4" s="8">
        <v>300000000</v>
      </c>
      <c r="M4" s="6">
        <f t="shared" si="1"/>
        <v>0.5</v>
      </c>
      <c r="N4" s="5" t="s">
        <v>532</v>
      </c>
      <c r="O4" s="5" t="s">
        <v>513</v>
      </c>
      <c r="P4" s="5" t="s">
        <v>499</v>
      </c>
      <c r="Q4" s="5" t="s">
        <v>512</v>
      </c>
      <c r="R4" s="5"/>
      <c r="S4" s="5"/>
      <c r="T4" s="10">
        <f ca="1">IF($A4="","",TODAY())</f>
        <v>46059</v>
      </c>
      <c r="U4" s="5"/>
    </row>
    <row r="5" spans="1:21" ht="45" x14ac:dyDescent="0.25">
      <c r="A5" s="5" t="s">
        <v>498</v>
      </c>
      <c r="B5" s="5" t="s">
        <v>483</v>
      </c>
      <c r="C5" s="5" t="s">
        <v>285</v>
      </c>
      <c r="D5" s="5" t="str">
        <f>IF($C5="","",INDEX(PLAN_DESARROLLO!$B:$B,MATCH($C5,PLAN_DESARROLLO!$A:$A,0)))</f>
        <v>2024257770021</v>
      </c>
      <c r="E5" s="5" t="str">
        <f>IF($C5="","",INDEX(PLAN_DESARROLLO!$C:$C,MATCH($C5,PLAN_DESARROLLO!$A:$A,0)))</f>
        <v>POR EL SUPATÁ SOÑADO AVANZAMOS JUNTOS EN LA LÍNEA ESTRATÉGICA ECONÓMICA</v>
      </c>
      <c r="F5" s="5" t="str">
        <f>IF($C5="","",INDEX(PLAN_DESARROLLO!$D:$D,MATCH($C5,PLAN_DESARROLLO!$A:$A,0)))</f>
        <v>TRANSPORTE</v>
      </c>
      <c r="G5" s="5" t="str">
        <f>IF($C5="","",INDEX(PLAN_DESARROLLO!$E:$E,MATCH($C5,PLAN_DESARROLLO!$A:$A,0)))</f>
        <v>Realizar el mejoramiento, adecuación de vías en la zona rural a través de la construcción de 1.000 ML de placa huellas en concreto o pavimentación, en el cuatrienio</v>
      </c>
      <c r="H5" s="12">
        <v>1000</v>
      </c>
      <c r="I5" s="12">
        <v>2000</v>
      </c>
      <c r="J5" s="6">
        <f t="shared" si="0"/>
        <v>2</v>
      </c>
      <c r="K5" s="8">
        <v>600000000</v>
      </c>
      <c r="L5" s="8">
        <v>2000000000</v>
      </c>
      <c r="M5" s="6">
        <f t="shared" si="1"/>
        <v>3.3333333333333335</v>
      </c>
      <c r="N5" s="5" t="s">
        <v>530</v>
      </c>
      <c r="O5" s="5" t="s">
        <v>509</v>
      </c>
      <c r="P5" s="5" t="s">
        <v>502</v>
      </c>
      <c r="Q5" s="5" t="s">
        <v>504</v>
      </c>
      <c r="R5" s="5"/>
      <c r="S5" s="5"/>
      <c r="T5" s="10">
        <f ca="1">IF($A5="","",TODAY())</f>
        <v>46059</v>
      </c>
      <c r="U5" s="5"/>
    </row>
    <row r="6" spans="1:21" ht="45" x14ac:dyDescent="0.25">
      <c r="A6" s="5" t="s">
        <v>494</v>
      </c>
      <c r="B6" s="5" t="s">
        <v>483</v>
      </c>
      <c r="C6" s="5" t="s">
        <v>287</v>
      </c>
      <c r="D6" s="5" t="str">
        <f>IF($C6="","",INDEX(PLAN_DESARROLLO!$B:$B,MATCH($C6,PLAN_DESARROLLO!$A:$A,0)))</f>
        <v>2024257770021</v>
      </c>
      <c r="E6" s="5" t="str">
        <f>IF($C6="","",INDEX(PLAN_DESARROLLO!$C:$C,MATCH($C6,PLAN_DESARROLLO!$A:$A,0)))</f>
        <v>POR EL SUPATÁ SOÑADO AVANZAMOS JUNTOS EN LA LÍNEA ESTRATÉGICA ECONÓMICA</v>
      </c>
      <c r="F6" s="5" t="str">
        <f>IF($C6="","",INDEX(PLAN_DESARROLLO!$D:$D,MATCH($C6,PLAN_DESARROLLO!$A:$A,0)))</f>
        <v>TRANSPORTE</v>
      </c>
      <c r="G6" s="5" t="str">
        <f>IF($C6="","",INDEX(PLAN_DESARROLLO!$E:$E,MATCH($C6,PLAN_DESARROLLO!$A:$A,0)))</f>
        <v>Construir  10 obras de arte para el mantenimiento y mejoramiento de la red terciaria del municipio, durante el cuatrienio</v>
      </c>
      <c r="H6" s="12">
        <v>5</v>
      </c>
      <c r="I6" s="12">
        <v>2</v>
      </c>
      <c r="J6" s="6">
        <f t="shared" si="0"/>
        <v>0.4</v>
      </c>
      <c r="K6" s="8">
        <v>150000000</v>
      </c>
      <c r="L6" s="8">
        <v>150000000</v>
      </c>
      <c r="M6" s="6">
        <f t="shared" si="1"/>
        <v>1</v>
      </c>
      <c r="N6" s="5" t="s">
        <v>531</v>
      </c>
      <c r="O6" s="5" t="s">
        <v>500</v>
      </c>
      <c r="P6" s="5" t="s">
        <v>499</v>
      </c>
      <c r="Q6" s="5" t="s">
        <v>504</v>
      </c>
      <c r="R6" s="5"/>
      <c r="S6" s="5"/>
      <c r="T6" s="10"/>
      <c r="U6" s="5"/>
    </row>
    <row r="7" spans="1:21" ht="45" x14ac:dyDescent="0.25">
      <c r="A7" s="5" t="s">
        <v>498</v>
      </c>
      <c r="B7" s="5" t="s">
        <v>483</v>
      </c>
      <c r="C7" s="5" t="s">
        <v>287</v>
      </c>
      <c r="D7" s="5" t="str">
        <f>IF($C7="","",INDEX(PLAN_DESARROLLO!$B:$B,MATCH($C7,PLAN_DESARROLLO!$A:$A,0)))</f>
        <v>2024257770021</v>
      </c>
      <c r="E7" s="5" t="str">
        <f>IF($C7="","",INDEX(PLAN_DESARROLLO!$C:$C,MATCH($C7,PLAN_DESARROLLO!$A:$A,0)))</f>
        <v>POR EL SUPATÁ SOÑADO AVANZAMOS JUNTOS EN LA LÍNEA ESTRATÉGICA ECONÓMICA</v>
      </c>
      <c r="F7" s="5" t="str">
        <f>IF($C7="","",INDEX(PLAN_DESARROLLO!$D:$D,MATCH($C7,PLAN_DESARROLLO!$A:$A,0)))</f>
        <v>TRANSPORTE</v>
      </c>
      <c r="G7" s="5" t="str">
        <f>IF($C7="","",INDEX(PLAN_DESARROLLO!$E:$E,MATCH($C7,PLAN_DESARROLLO!$A:$A,0)))</f>
        <v>Construir  10 obras de arte para el mantenimiento y mejoramiento de la red terciaria del municipio, durante el cuatrienio</v>
      </c>
      <c r="H7" s="12">
        <v>5</v>
      </c>
      <c r="I7" s="12">
        <v>5</v>
      </c>
      <c r="J7" s="6">
        <f t="shared" si="0"/>
        <v>1</v>
      </c>
      <c r="K7" s="8">
        <v>300000000</v>
      </c>
      <c r="L7" s="8">
        <v>300000000</v>
      </c>
      <c r="M7" s="6">
        <f t="shared" si="1"/>
        <v>1</v>
      </c>
      <c r="N7" s="5" t="s">
        <v>531</v>
      </c>
      <c r="O7" s="5" t="s">
        <v>500</v>
      </c>
      <c r="P7" s="5" t="s">
        <v>502</v>
      </c>
      <c r="Q7" s="5" t="s">
        <v>504</v>
      </c>
      <c r="R7" s="5"/>
      <c r="S7" s="5"/>
      <c r="T7" s="10">
        <f ca="1">IF($A7="","",TODAY())</f>
        <v>46059</v>
      </c>
      <c r="U7" s="5"/>
    </row>
    <row r="8" spans="1:21" ht="30" x14ac:dyDescent="0.25">
      <c r="A8" s="5" t="s">
        <v>494</v>
      </c>
      <c r="B8" s="5" t="s">
        <v>483</v>
      </c>
      <c r="C8" s="5" t="s">
        <v>120</v>
      </c>
      <c r="D8" s="5" t="str">
        <f>IF($C8="","",INDEX(PLAN_DESARROLLO!$B:$B,MATCH($C8,PLAN_DESARROLLO!$A:$A,0)))</f>
        <v>2024257770010</v>
      </c>
      <c r="E8" s="5" t="str">
        <f>IF($C8="","",INDEX(PLAN_DESARROLLO!$C:$C,MATCH($C8,PLAN_DESARROLLO!$A:$A,0)))</f>
        <v>POR EL SUPATÁ SOÑADO AVANZAMOS JUNTOS EN LA LÍNEA ESTRATÉGICA SOCIAL</v>
      </c>
      <c r="F8" s="5" t="str">
        <f>IF($C8="","",INDEX(PLAN_DESARROLLO!$D:$D,MATCH($C8,PLAN_DESARROLLO!$A:$A,0)))</f>
        <v>RECREACION Y DEPROTE</v>
      </c>
      <c r="G8" s="5" t="str">
        <f>IF($C8="","",INDEX(PLAN_DESARROLLO!$E:$E,MATCH($C8,PLAN_DESARROLLO!$A:$A,0)))</f>
        <v>Realizar 2 estudios y diseños para infraestructura deportiva y recreativa en el municipio</v>
      </c>
      <c r="H8" s="12">
        <v>2</v>
      </c>
      <c r="I8" s="12">
        <v>0</v>
      </c>
      <c r="J8" s="6">
        <f t="shared" ref="J8:J69" si="2">IF(OR($H8="",$I8=""),"",IFERROR($I8/$H8,0))</f>
        <v>0</v>
      </c>
      <c r="K8" s="8">
        <v>0</v>
      </c>
      <c r="L8" s="8">
        <v>0</v>
      </c>
      <c r="M8" s="6">
        <f t="shared" ref="M8:M69" si="3">IF(OR($K8="",$L8=""),"",IFERROR($L8/$K8,0))</f>
        <v>0</v>
      </c>
      <c r="N8" s="5" t="s">
        <v>533</v>
      </c>
      <c r="O8" s="5" t="s">
        <v>496</v>
      </c>
      <c r="P8" s="5" t="s">
        <v>495</v>
      </c>
      <c r="Q8" s="5" t="s">
        <v>512</v>
      </c>
      <c r="R8" s="5"/>
      <c r="S8" s="5"/>
      <c r="T8" s="10">
        <f t="shared" ref="T8:T69" ca="1" si="4">IF($A8="","",TODAY())</f>
        <v>46059</v>
      </c>
      <c r="U8" s="5"/>
    </row>
    <row r="9" spans="1:21" ht="30" x14ac:dyDescent="0.25">
      <c r="A9" s="5" t="s">
        <v>498</v>
      </c>
      <c r="B9" s="5" t="s">
        <v>483</v>
      </c>
      <c r="C9" s="5" t="s">
        <v>120</v>
      </c>
      <c r="D9" s="5" t="str">
        <f>IF($C9="","",INDEX(PLAN_DESARROLLO!$B:$B,MATCH($C9,PLAN_DESARROLLO!$A:$A,0)))</f>
        <v>2024257770010</v>
      </c>
      <c r="E9" s="5" t="str">
        <f>IF($C9="","",INDEX(PLAN_DESARROLLO!$C:$C,MATCH($C9,PLAN_DESARROLLO!$A:$A,0)))</f>
        <v>POR EL SUPATÁ SOÑADO AVANZAMOS JUNTOS EN LA LÍNEA ESTRATÉGICA SOCIAL</v>
      </c>
      <c r="F9" s="5" t="str">
        <f>IF($C9="","",INDEX(PLAN_DESARROLLO!$D:$D,MATCH($C9,PLAN_DESARROLLO!$A:$A,0)))</f>
        <v>RECREACION Y DEPROTE</v>
      </c>
      <c r="G9" s="5" t="str">
        <f>IF($C9="","",INDEX(PLAN_DESARROLLO!$E:$E,MATCH($C9,PLAN_DESARROLLO!$A:$A,0)))</f>
        <v>Realizar 2 estudios y diseños para infraestructura deportiva y recreativa en el municipio</v>
      </c>
      <c r="H9" s="12">
        <v>2</v>
      </c>
      <c r="I9" s="12">
        <v>2</v>
      </c>
      <c r="J9" s="6">
        <f t="shared" si="2"/>
        <v>1</v>
      </c>
      <c r="K9" s="8">
        <v>0</v>
      </c>
      <c r="L9" s="8">
        <v>0</v>
      </c>
      <c r="M9" s="6">
        <f t="shared" si="3"/>
        <v>0</v>
      </c>
      <c r="N9" s="5" t="s">
        <v>534</v>
      </c>
      <c r="O9" s="5" t="s">
        <v>496</v>
      </c>
      <c r="P9" s="5" t="s">
        <v>499</v>
      </c>
      <c r="Q9" s="5" t="s">
        <v>504</v>
      </c>
      <c r="R9" s="5"/>
      <c r="S9" s="5"/>
      <c r="T9" s="10">
        <f t="shared" ca="1" si="4"/>
        <v>46059</v>
      </c>
      <c r="U9" s="5"/>
    </row>
    <row r="10" spans="1:21" ht="45" x14ac:dyDescent="0.25">
      <c r="A10" s="5" t="s">
        <v>494</v>
      </c>
      <c r="B10" s="5" t="s">
        <v>483</v>
      </c>
      <c r="C10" s="5" t="s">
        <v>195</v>
      </c>
      <c r="D10" s="5" t="str">
        <f>IF($C10="","",INDEX(PLAN_DESARROLLO!$B:$B,MATCH($C10,PLAN_DESARROLLO!$A:$A,0)))</f>
        <v>2024257770016</v>
      </c>
      <c r="E10" s="5" t="str">
        <f>IF($C10="","",INDEX(PLAN_DESARROLLO!$C:$C,MATCH($C10,PLAN_DESARROLLO!$A:$A,0)))</f>
        <v>POR EL SUPATÁ SOÑADO AVANZAMOS JUNTOS EN LA LÍNEA ESTRATÉGICA SOCIAL</v>
      </c>
      <c r="F10" s="5" t="str">
        <f>IF($C10="","",INDEX(PLAN_DESARROLLO!$D:$D,MATCH($C10,PLAN_DESARROLLO!$A:$A,0)))</f>
        <v>VIVIENDA, CIUDAD Y TERRITORIO</v>
      </c>
      <c r="G10" s="5" t="str">
        <f>IF($C10="","",INDEX(PLAN_DESARROLLO!$E:$E,MATCH($C10,PLAN_DESARROLLO!$A:$A,0)))</f>
        <v>Fortalecer  administrativa y logística anualmente el Consejo Territorial de Planeación para su funcionamiento. (pendiente fortalecimiento institucional cambio de sector)</v>
      </c>
      <c r="H10" s="12">
        <v>1</v>
      </c>
      <c r="I10" s="12">
        <v>1</v>
      </c>
      <c r="J10" s="6">
        <f t="shared" si="2"/>
        <v>1</v>
      </c>
      <c r="K10" s="8">
        <v>0</v>
      </c>
      <c r="L10" s="8">
        <v>0</v>
      </c>
      <c r="M10" s="6">
        <f t="shared" si="3"/>
        <v>0</v>
      </c>
      <c r="N10" s="5" t="s">
        <v>535</v>
      </c>
      <c r="O10" s="5" t="s">
        <v>513</v>
      </c>
      <c r="P10" s="5" t="s">
        <v>499</v>
      </c>
      <c r="Q10" s="5" t="s">
        <v>512</v>
      </c>
      <c r="R10" s="5"/>
      <c r="S10" s="5"/>
      <c r="T10" s="10">
        <f t="shared" ca="1" si="4"/>
        <v>46059</v>
      </c>
      <c r="U10" s="5"/>
    </row>
    <row r="11" spans="1:21" ht="45" x14ac:dyDescent="0.25">
      <c r="A11" s="5" t="s">
        <v>498</v>
      </c>
      <c r="B11" s="5" t="s">
        <v>483</v>
      </c>
      <c r="C11" s="5" t="s">
        <v>195</v>
      </c>
      <c r="D11" s="5" t="str">
        <f>IF($C11="","",INDEX(PLAN_DESARROLLO!$B:$B,MATCH($C11,PLAN_DESARROLLO!$A:$A,0)))</f>
        <v>2024257770016</v>
      </c>
      <c r="E11" s="5" t="str">
        <f>IF($C11="","",INDEX(PLAN_DESARROLLO!$C:$C,MATCH($C11,PLAN_DESARROLLO!$A:$A,0)))</f>
        <v>POR EL SUPATÁ SOÑADO AVANZAMOS JUNTOS EN LA LÍNEA ESTRATÉGICA SOCIAL</v>
      </c>
      <c r="F11" s="5" t="str">
        <f>IF($C11="","",INDEX(PLAN_DESARROLLO!$D:$D,MATCH($C11,PLAN_DESARROLLO!$A:$A,0)))</f>
        <v>VIVIENDA, CIUDAD Y TERRITORIO</v>
      </c>
      <c r="G11" s="5" t="str">
        <f>IF($C11="","",INDEX(PLAN_DESARROLLO!$E:$E,MATCH($C11,PLAN_DESARROLLO!$A:$A,0)))</f>
        <v>Fortalecer  administrativa y logística anualmente el Consejo Territorial de Planeación para su funcionamiento. (pendiente fortalecimiento institucional cambio de sector)</v>
      </c>
      <c r="H11" s="12">
        <v>1</v>
      </c>
      <c r="I11" s="12">
        <v>1</v>
      </c>
      <c r="J11" s="6">
        <f t="shared" si="2"/>
        <v>1</v>
      </c>
      <c r="K11" s="8">
        <v>0</v>
      </c>
      <c r="L11" s="8">
        <v>0</v>
      </c>
      <c r="M11" s="6">
        <f t="shared" si="3"/>
        <v>0</v>
      </c>
      <c r="N11" s="5" t="s">
        <v>535</v>
      </c>
      <c r="O11" s="5" t="s">
        <v>513</v>
      </c>
      <c r="P11" s="5" t="s">
        <v>499</v>
      </c>
      <c r="Q11" s="5" t="s">
        <v>512</v>
      </c>
      <c r="R11" s="5"/>
      <c r="S11" s="5"/>
      <c r="T11" s="10">
        <f t="shared" ca="1" si="4"/>
        <v>46059</v>
      </c>
      <c r="U11" s="5"/>
    </row>
    <row r="12" spans="1:21" ht="30" x14ac:dyDescent="0.25">
      <c r="A12" s="5" t="s">
        <v>494</v>
      </c>
      <c r="B12" s="5" t="s">
        <v>483</v>
      </c>
      <c r="C12" s="5" t="s">
        <v>199</v>
      </c>
      <c r="D12" s="5" t="str">
        <f>IF($C12="","",INDEX(PLAN_DESARROLLO!$B:$B,MATCH($C12,PLAN_DESARROLLO!$A:$A,0)))</f>
        <v>2024257770016</v>
      </c>
      <c r="E12" s="5" t="str">
        <f>IF($C12="","",INDEX(PLAN_DESARROLLO!$C:$C,MATCH($C12,PLAN_DESARROLLO!$A:$A,0)))</f>
        <v>POR EL SUPATÁ SOÑADO AVANZAMOS JUNTOS EN LA LÍNEA ESTRATÉGICA SOCIAL</v>
      </c>
      <c r="F12" s="5" t="str">
        <f>IF($C12="","",INDEX(PLAN_DESARROLLO!$D:$D,MATCH($C12,PLAN_DESARROLLO!$A:$A,0)))</f>
        <v>VIVIENDA, CIUDAD Y TERRITORIO</v>
      </c>
      <c r="G12" s="5" t="str">
        <f>IF($C12="","",INDEX(PLAN_DESARROLLO!$E:$E,MATCH($C12,PLAN_DESARROLLO!$A:$A,0)))</f>
        <v>Adecuación y mantenimiento de la plaza de ferias municipal</v>
      </c>
      <c r="H12" s="12">
        <v>1</v>
      </c>
      <c r="I12" s="12">
        <v>0</v>
      </c>
      <c r="J12" s="6">
        <f t="shared" si="2"/>
        <v>0</v>
      </c>
      <c r="K12" s="8">
        <v>0</v>
      </c>
      <c r="L12" s="8">
        <v>0</v>
      </c>
      <c r="M12" s="6">
        <f t="shared" si="3"/>
        <v>0</v>
      </c>
      <c r="N12" s="5" t="s">
        <v>533</v>
      </c>
      <c r="O12" s="5" t="s">
        <v>503</v>
      </c>
      <c r="P12" s="5" t="s">
        <v>495</v>
      </c>
      <c r="Q12" s="5" t="s">
        <v>512</v>
      </c>
      <c r="R12" s="5"/>
      <c r="S12" s="5"/>
      <c r="T12" s="10">
        <f t="shared" ca="1" si="4"/>
        <v>46059</v>
      </c>
      <c r="U12" s="5"/>
    </row>
    <row r="13" spans="1:21" ht="30" x14ac:dyDescent="0.25">
      <c r="A13" s="5" t="s">
        <v>498</v>
      </c>
      <c r="B13" s="5" t="s">
        <v>483</v>
      </c>
      <c r="C13" s="5" t="s">
        <v>199</v>
      </c>
      <c r="D13" s="5" t="str">
        <f>IF($C13="","",INDEX(PLAN_DESARROLLO!$B:$B,MATCH($C13,PLAN_DESARROLLO!$A:$A,0)))</f>
        <v>2024257770016</v>
      </c>
      <c r="E13" s="5" t="str">
        <f>IF($C13="","",INDEX(PLAN_DESARROLLO!$C:$C,MATCH($C13,PLAN_DESARROLLO!$A:$A,0)))</f>
        <v>POR EL SUPATÁ SOÑADO AVANZAMOS JUNTOS EN LA LÍNEA ESTRATÉGICA SOCIAL</v>
      </c>
      <c r="F13" s="5" t="str">
        <f>IF($C13="","",INDEX(PLAN_DESARROLLO!$D:$D,MATCH($C13,PLAN_DESARROLLO!$A:$A,0)))</f>
        <v>VIVIENDA, CIUDAD Y TERRITORIO</v>
      </c>
      <c r="G13" s="5" t="str">
        <f>IF($C13="","",INDEX(PLAN_DESARROLLO!$E:$E,MATCH($C13,PLAN_DESARROLLO!$A:$A,0)))</f>
        <v>Adecuación y mantenimiento de la plaza de ferias municipal</v>
      </c>
      <c r="H13" s="12">
        <v>1</v>
      </c>
      <c r="I13" s="12">
        <v>1</v>
      </c>
      <c r="J13" s="6">
        <f t="shared" si="2"/>
        <v>1</v>
      </c>
      <c r="K13" s="8">
        <v>1700000000</v>
      </c>
      <c r="L13" s="8">
        <v>1700000000</v>
      </c>
      <c r="M13" s="6">
        <f t="shared" si="3"/>
        <v>1</v>
      </c>
      <c r="N13" s="5" t="s">
        <v>536</v>
      </c>
      <c r="O13" s="5" t="s">
        <v>503</v>
      </c>
      <c r="P13" s="5" t="s">
        <v>499</v>
      </c>
      <c r="Q13" s="5" t="s">
        <v>504</v>
      </c>
      <c r="R13" s="5"/>
      <c r="S13" s="5"/>
      <c r="T13" s="10">
        <f t="shared" ca="1" si="4"/>
        <v>46059</v>
      </c>
      <c r="U13" s="5"/>
    </row>
    <row r="14" spans="1:21" ht="30" x14ac:dyDescent="0.25">
      <c r="A14" s="5" t="s">
        <v>494</v>
      </c>
      <c r="B14" s="5" t="s">
        <v>483</v>
      </c>
      <c r="C14" s="5" t="s">
        <v>201</v>
      </c>
      <c r="D14" s="5" t="str">
        <f>IF($C14="","",INDEX(PLAN_DESARROLLO!$B:$B,MATCH($C14,PLAN_DESARROLLO!$A:$A,0)))</f>
        <v>2024257770016</v>
      </c>
      <c r="E14" s="5" t="str">
        <f>IF($C14="","",INDEX(PLAN_DESARROLLO!$C:$C,MATCH($C14,PLAN_DESARROLLO!$A:$A,0)))</f>
        <v>POR EL SUPATÁ SOÑADO AVANZAMOS JUNTOS EN LA LÍNEA ESTRATÉGICA SOCIAL</v>
      </c>
      <c r="F14" s="5" t="str">
        <f>IF($C14="","",INDEX(PLAN_DESARROLLO!$D:$D,MATCH($C14,PLAN_DESARROLLO!$A:$A,0)))</f>
        <v>VIVIENDA, CIUDAD Y TERRITORIO</v>
      </c>
      <c r="G14" s="5" t="str">
        <f>IF($C14="","",INDEX(PLAN_DESARROLLO!$E:$E,MATCH($C14,PLAN_DESARROLLO!$A:$A,0)))</f>
        <v>Realizar 2 mantenimientos a la plaza de mercado</v>
      </c>
      <c r="H14" s="12">
        <v>2</v>
      </c>
      <c r="I14" s="12">
        <v>0</v>
      </c>
      <c r="J14" s="6">
        <f t="shared" si="2"/>
        <v>0</v>
      </c>
      <c r="K14" s="8">
        <v>0</v>
      </c>
      <c r="L14" s="8">
        <v>0</v>
      </c>
      <c r="M14" s="6">
        <f t="shared" si="3"/>
        <v>0</v>
      </c>
      <c r="N14" s="5" t="s">
        <v>537</v>
      </c>
      <c r="O14" s="5" t="s">
        <v>496</v>
      </c>
      <c r="P14" s="5" t="s">
        <v>495</v>
      </c>
      <c r="Q14" s="5" t="s">
        <v>504</v>
      </c>
      <c r="R14" s="5"/>
      <c r="S14" s="5"/>
      <c r="T14" s="10">
        <f t="shared" ca="1" si="4"/>
        <v>46059</v>
      </c>
      <c r="U14" s="5"/>
    </row>
    <row r="15" spans="1:21" ht="30" x14ac:dyDescent="0.25">
      <c r="A15" s="5" t="s">
        <v>498</v>
      </c>
      <c r="B15" s="5" t="s">
        <v>483</v>
      </c>
      <c r="C15" s="5" t="s">
        <v>201</v>
      </c>
      <c r="D15" s="5" t="str">
        <f>IF($C15="","",INDEX(PLAN_DESARROLLO!$B:$B,MATCH($C15,PLAN_DESARROLLO!$A:$A,0)))</f>
        <v>2024257770016</v>
      </c>
      <c r="E15" s="5" t="str">
        <f>IF($C15="","",INDEX(PLAN_DESARROLLO!$C:$C,MATCH($C15,PLAN_DESARROLLO!$A:$A,0)))</f>
        <v>POR EL SUPATÁ SOÑADO AVANZAMOS JUNTOS EN LA LÍNEA ESTRATÉGICA SOCIAL</v>
      </c>
      <c r="F15" s="5" t="str">
        <f>IF($C15="","",INDEX(PLAN_DESARROLLO!$D:$D,MATCH($C15,PLAN_DESARROLLO!$A:$A,0)))</f>
        <v>VIVIENDA, CIUDAD Y TERRITORIO</v>
      </c>
      <c r="G15" s="5" t="str">
        <f>IF($C15="","",INDEX(PLAN_DESARROLLO!$E:$E,MATCH($C15,PLAN_DESARROLLO!$A:$A,0)))</f>
        <v>Realizar 2 mantenimientos a la plaza de mercado</v>
      </c>
      <c r="H15" s="12">
        <v>2</v>
      </c>
      <c r="I15" s="12">
        <v>0</v>
      </c>
      <c r="J15" s="6">
        <f t="shared" si="2"/>
        <v>0</v>
      </c>
      <c r="K15" s="8">
        <v>0</v>
      </c>
      <c r="L15" s="8">
        <v>0</v>
      </c>
      <c r="M15" s="6">
        <f t="shared" si="3"/>
        <v>0</v>
      </c>
      <c r="N15" s="5" t="s">
        <v>537</v>
      </c>
      <c r="O15" s="5" t="s">
        <v>496</v>
      </c>
      <c r="P15" s="5" t="s">
        <v>495</v>
      </c>
      <c r="Q15" s="5" t="s">
        <v>504</v>
      </c>
      <c r="R15" s="5"/>
      <c r="S15" s="5"/>
      <c r="T15" s="10">
        <f t="shared" ca="1" si="4"/>
        <v>46059</v>
      </c>
      <c r="U15" s="5"/>
    </row>
    <row r="16" spans="1:21" ht="45" x14ac:dyDescent="0.25">
      <c r="A16" s="5" t="s">
        <v>494</v>
      </c>
      <c r="B16" s="5" t="s">
        <v>483</v>
      </c>
      <c r="C16" s="5" t="s">
        <v>203</v>
      </c>
      <c r="D16" s="5" t="str">
        <f>IF($C16="","",INDEX(PLAN_DESARROLLO!$B:$B,MATCH($C16,PLAN_DESARROLLO!$A:$A,0)))</f>
        <v>2024257770016</v>
      </c>
      <c r="E16" s="5" t="str">
        <f>IF($C16="","",INDEX(PLAN_DESARROLLO!$C:$C,MATCH($C16,PLAN_DESARROLLO!$A:$A,0)))</f>
        <v>POR EL SUPATÁ SOÑADO AVANZAMOS JUNTOS EN LA LÍNEA ESTRATÉGICA SOCIAL</v>
      </c>
      <c r="F16" s="5" t="str">
        <f>IF($C16="","",INDEX(PLAN_DESARROLLO!$D:$D,MATCH($C16,PLAN_DESARROLLO!$A:$A,0)))</f>
        <v>VIVIENDA, CIUDAD Y TERRITORIO</v>
      </c>
      <c r="G16" s="5" t="str">
        <f>IF($C16="","",INDEX(PLAN_DESARROLLO!$E:$E,MATCH($C16,PLAN_DESARROLLO!$A:$A,0)))</f>
        <v>Implementar  el programa anual  de Banco de Materiales que une esfuerzos entre la administración municipal y la comunidad para la realización de obras necesarias y de gran impacto social en barrios y veredas.</v>
      </c>
      <c r="H16" s="12">
        <v>1</v>
      </c>
      <c r="I16" s="12">
        <v>1</v>
      </c>
      <c r="J16" s="6">
        <f t="shared" si="2"/>
        <v>1</v>
      </c>
      <c r="K16" s="8">
        <v>30000000</v>
      </c>
      <c r="L16" s="8">
        <v>30000000</v>
      </c>
      <c r="M16" s="6">
        <f t="shared" si="3"/>
        <v>1</v>
      </c>
      <c r="N16" s="5" t="s">
        <v>538</v>
      </c>
      <c r="O16" s="5" t="s">
        <v>496</v>
      </c>
      <c r="P16" s="5" t="s">
        <v>502</v>
      </c>
      <c r="Q16" s="5" t="s">
        <v>504</v>
      </c>
      <c r="R16" s="5"/>
      <c r="S16" s="5"/>
      <c r="T16" s="10">
        <f t="shared" ca="1" si="4"/>
        <v>46059</v>
      </c>
      <c r="U16" s="5"/>
    </row>
    <row r="17" spans="1:21" ht="45" x14ac:dyDescent="0.25">
      <c r="A17" s="5" t="s">
        <v>498</v>
      </c>
      <c r="B17" s="5" t="s">
        <v>483</v>
      </c>
      <c r="C17" s="5" t="s">
        <v>203</v>
      </c>
      <c r="D17" s="5" t="str">
        <f>IF($C17="","",INDEX(PLAN_DESARROLLO!$B:$B,MATCH($C17,PLAN_DESARROLLO!$A:$A,0)))</f>
        <v>2024257770016</v>
      </c>
      <c r="E17" s="5" t="str">
        <f>IF($C17="","",INDEX(PLAN_DESARROLLO!$C:$C,MATCH($C17,PLAN_DESARROLLO!$A:$A,0)))</f>
        <v>POR EL SUPATÁ SOÑADO AVANZAMOS JUNTOS EN LA LÍNEA ESTRATÉGICA SOCIAL</v>
      </c>
      <c r="F17" s="5" t="str">
        <f>IF($C17="","",INDEX(PLAN_DESARROLLO!$D:$D,MATCH($C17,PLAN_DESARROLLO!$A:$A,0)))</f>
        <v>VIVIENDA, CIUDAD Y TERRITORIO</v>
      </c>
      <c r="G17" s="5" t="str">
        <f>IF($C17="","",INDEX(PLAN_DESARROLLO!$E:$E,MATCH($C17,PLAN_DESARROLLO!$A:$A,0)))</f>
        <v>Implementar  el programa anual  de Banco de Materiales que une esfuerzos entre la administración municipal y la comunidad para la realización de obras necesarias y de gran impacto social en barrios y veredas.</v>
      </c>
      <c r="H17" s="12">
        <v>1</v>
      </c>
      <c r="I17" s="12">
        <v>1</v>
      </c>
      <c r="J17" s="6">
        <f t="shared" si="2"/>
        <v>1</v>
      </c>
      <c r="K17" s="8">
        <v>46000000</v>
      </c>
      <c r="L17" s="8">
        <v>46000000</v>
      </c>
      <c r="M17" s="6">
        <f t="shared" si="3"/>
        <v>1</v>
      </c>
      <c r="N17" s="5" t="s">
        <v>539</v>
      </c>
      <c r="O17" s="5" t="s">
        <v>496</v>
      </c>
      <c r="P17" s="5" t="s">
        <v>502</v>
      </c>
      <c r="Q17" s="5" t="s">
        <v>504</v>
      </c>
      <c r="R17" s="5"/>
      <c r="S17" s="5"/>
      <c r="T17" s="10">
        <f t="shared" ca="1" si="4"/>
        <v>46059</v>
      </c>
      <c r="U17" s="5"/>
    </row>
    <row r="18" spans="1:21" ht="45" x14ac:dyDescent="0.25">
      <c r="A18" s="5" t="s">
        <v>494</v>
      </c>
      <c r="B18" s="5" t="s">
        <v>483</v>
      </c>
      <c r="C18" s="5" t="s">
        <v>205</v>
      </c>
      <c r="D18" s="5" t="str">
        <f>IF($C18="","",INDEX(PLAN_DESARROLLO!$B:$B,MATCH($C18,PLAN_DESARROLLO!$A:$A,0)))</f>
        <v>2024257770016</v>
      </c>
      <c r="E18" s="5" t="str">
        <f>IF($C18="","",INDEX(PLAN_DESARROLLO!$C:$C,MATCH($C18,PLAN_DESARROLLO!$A:$A,0)))</f>
        <v>POR EL SUPATÁ SOÑADO AVANZAMOS JUNTOS EN LA LÍNEA ESTRATÉGICA SOCIAL</v>
      </c>
      <c r="F18" s="5" t="str">
        <f>IF($C18="","",INDEX(PLAN_DESARROLLO!$D:$D,MATCH($C18,PLAN_DESARROLLO!$A:$A,0)))</f>
        <v>VIVIENDA, CIUDAD Y TERRITORIO</v>
      </c>
      <c r="G18" s="5" t="str">
        <f>IF($C18="","",INDEX(PLAN_DESARROLLO!$E:$E,MATCH($C18,PLAN_DESARROLLO!$A:$A,0)))</f>
        <v>Implementar  un programa  de mantenimiento de espacio público,  zonas verdes y  parques del municipio</v>
      </c>
      <c r="H18" s="12">
        <v>1</v>
      </c>
      <c r="I18" s="12">
        <v>1</v>
      </c>
      <c r="J18" s="6">
        <f t="shared" si="2"/>
        <v>1</v>
      </c>
      <c r="K18" s="8">
        <v>50000000</v>
      </c>
      <c r="L18" s="8">
        <v>50000000</v>
      </c>
      <c r="M18" s="6">
        <f t="shared" si="3"/>
        <v>1</v>
      </c>
      <c r="N18" s="5" t="s">
        <v>540</v>
      </c>
      <c r="O18" s="5" t="s">
        <v>500</v>
      </c>
      <c r="P18" s="5" t="s">
        <v>502</v>
      </c>
      <c r="Q18" s="5" t="s">
        <v>504</v>
      </c>
      <c r="R18" s="5"/>
      <c r="S18" s="5"/>
      <c r="T18" s="10">
        <f t="shared" ca="1" si="4"/>
        <v>46059</v>
      </c>
      <c r="U18" s="5"/>
    </row>
    <row r="19" spans="1:21" ht="45" x14ac:dyDescent="0.25">
      <c r="A19" s="5" t="s">
        <v>498</v>
      </c>
      <c r="B19" s="5" t="s">
        <v>483</v>
      </c>
      <c r="C19" s="5" t="s">
        <v>205</v>
      </c>
      <c r="D19" s="5" t="str">
        <f>IF($C19="","",INDEX(PLAN_DESARROLLO!$B:$B,MATCH($C19,PLAN_DESARROLLO!$A:$A,0)))</f>
        <v>2024257770016</v>
      </c>
      <c r="E19" s="5" t="str">
        <f>IF($C19="","",INDEX(PLAN_DESARROLLO!$C:$C,MATCH($C19,PLAN_DESARROLLO!$A:$A,0)))</f>
        <v>POR EL SUPATÁ SOÑADO AVANZAMOS JUNTOS EN LA LÍNEA ESTRATÉGICA SOCIAL</v>
      </c>
      <c r="F19" s="5" t="str">
        <f>IF($C19="","",INDEX(PLAN_DESARROLLO!$D:$D,MATCH($C19,PLAN_DESARROLLO!$A:$A,0)))</f>
        <v>VIVIENDA, CIUDAD Y TERRITORIO</v>
      </c>
      <c r="G19" s="5" t="str">
        <f>IF($C19="","",INDEX(PLAN_DESARROLLO!$E:$E,MATCH($C19,PLAN_DESARROLLO!$A:$A,0)))</f>
        <v>Implementar  un programa  de mantenimiento de espacio público,  zonas verdes y  parques del municipio</v>
      </c>
      <c r="H19" s="12">
        <v>1</v>
      </c>
      <c r="I19" s="12">
        <v>1</v>
      </c>
      <c r="J19" s="6">
        <f t="shared" si="2"/>
        <v>1</v>
      </c>
      <c r="K19" s="8">
        <v>50000000</v>
      </c>
      <c r="L19" s="8">
        <v>50000000</v>
      </c>
      <c r="M19" s="6">
        <f t="shared" si="3"/>
        <v>1</v>
      </c>
      <c r="N19" s="5" t="s">
        <v>540</v>
      </c>
      <c r="O19" s="5" t="s">
        <v>500</v>
      </c>
      <c r="P19" s="5" t="s">
        <v>502</v>
      </c>
      <c r="Q19" s="5" t="s">
        <v>504</v>
      </c>
      <c r="R19" s="5"/>
      <c r="S19" s="5"/>
      <c r="T19" s="10">
        <f t="shared" ca="1" si="4"/>
        <v>46059</v>
      </c>
      <c r="U19" s="5"/>
    </row>
    <row r="20" spans="1:21" ht="30" x14ac:dyDescent="0.25">
      <c r="A20" s="5" t="s">
        <v>494</v>
      </c>
      <c r="B20" s="5" t="s">
        <v>483</v>
      </c>
      <c r="C20" s="5" t="s">
        <v>207</v>
      </c>
      <c r="D20" s="5" t="str">
        <f>IF($C20="","",INDEX(PLAN_DESARROLLO!$B:$B,MATCH($C20,PLAN_DESARROLLO!$A:$A,0)))</f>
        <v>2024257770016</v>
      </c>
      <c r="E20" s="5" t="str">
        <f>IF($C20="","",INDEX(PLAN_DESARROLLO!$C:$C,MATCH($C20,PLAN_DESARROLLO!$A:$A,0)))</f>
        <v>POR EL SUPATÁ SOÑADO AVANZAMOS JUNTOS EN LA LÍNEA ESTRATÉGICA SOCIAL</v>
      </c>
      <c r="F20" s="5" t="str">
        <f>IF($C20="","",INDEX(PLAN_DESARROLLO!$D:$D,MATCH($C20,PLAN_DESARROLLO!$A:$A,0)))</f>
        <v>VIVIENDA, CIUDAD Y TERRITORIO</v>
      </c>
      <c r="G20" s="5" t="str">
        <f>IF($C20="","",INDEX(PLAN_DESARROLLO!$E:$E,MATCH($C20,PLAN_DESARROLLO!$A:$A,0)))</f>
        <v>Construir, mejorar y adecuar los andenes, pasamanos y escaleras en diversos sectores del casco urbano y centros poblados del municipio.</v>
      </c>
      <c r="H20" s="12">
        <v>1</v>
      </c>
      <c r="I20" s="12">
        <v>0</v>
      </c>
      <c r="J20" s="6">
        <f t="shared" si="2"/>
        <v>0</v>
      </c>
      <c r="K20" s="8">
        <v>0</v>
      </c>
      <c r="L20" s="8">
        <v>0</v>
      </c>
      <c r="M20" s="6">
        <f t="shared" si="3"/>
        <v>0</v>
      </c>
      <c r="N20" s="5" t="s">
        <v>541</v>
      </c>
      <c r="O20" s="5" t="s">
        <v>496</v>
      </c>
      <c r="P20" s="5" t="s">
        <v>495</v>
      </c>
      <c r="Q20" s="5" t="s">
        <v>504</v>
      </c>
      <c r="R20" s="5"/>
      <c r="S20" s="5"/>
      <c r="T20" s="10">
        <f t="shared" ca="1" si="4"/>
        <v>46059</v>
      </c>
      <c r="U20" s="5"/>
    </row>
    <row r="21" spans="1:21" ht="45" x14ac:dyDescent="0.25">
      <c r="A21" s="5" t="s">
        <v>498</v>
      </c>
      <c r="B21" s="5" t="s">
        <v>483</v>
      </c>
      <c r="C21" s="5" t="s">
        <v>207</v>
      </c>
      <c r="D21" s="5" t="str">
        <f>IF($C21="","",INDEX(PLAN_DESARROLLO!$B:$B,MATCH($C21,PLAN_DESARROLLO!$A:$A,0)))</f>
        <v>2024257770016</v>
      </c>
      <c r="E21" s="5" t="str">
        <f>IF($C21="","",INDEX(PLAN_DESARROLLO!$C:$C,MATCH($C21,PLAN_DESARROLLO!$A:$A,0)))</f>
        <v>POR EL SUPATÁ SOÑADO AVANZAMOS JUNTOS EN LA LÍNEA ESTRATÉGICA SOCIAL</v>
      </c>
      <c r="F21" s="5" t="str">
        <f>IF($C21="","",INDEX(PLAN_DESARROLLO!$D:$D,MATCH($C21,PLAN_DESARROLLO!$A:$A,0)))</f>
        <v>VIVIENDA, CIUDAD Y TERRITORIO</v>
      </c>
      <c r="G21" s="5" t="str">
        <f>IF($C21="","",INDEX(PLAN_DESARROLLO!$E:$E,MATCH($C21,PLAN_DESARROLLO!$A:$A,0)))</f>
        <v>Construir, mejorar y adecuar los andenes, pasamanos y escaleras en diversos sectores del casco urbano y centros poblados del municipio.</v>
      </c>
      <c r="H21" s="12">
        <v>1</v>
      </c>
      <c r="I21" s="12">
        <v>1</v>
      </c>
      <c r="J21" s="6">
        <f t="shared" si="2"/>
        <v>1</v>
      </c>
      <c r="K21" s="8">
        <v>40000000</v>
      </c>
      <c r="L21" s="8">
        <v>40000000</v>
      </c>
      <c r="M21" s="6">
        <f t="shared" si="3"/>
        <v>1</v>
      </c>
      <c r="N21" s="5" t="s">
        <v>542</v>
      </c>
      <c r="O21" s="5" t="s">
        <v>496</v>
      </c>
      <c r="P21" s="5" t="s">
        <v>499</v>
      </c>
      <c r="Q21" s="5" t="s">
        <v>504</v>
      </c>
      <c r="R21" s="5"/>
      <c r="S21" s="5"/>
      <c r="T21" s="10">
        <f t="shared" ca="1" si="4"/>
        <v>46059</v>
      </c>
      <c r="U21" s="5"/>
    </row>
    <row r="22" spans="1:21" ht="30" x14ac:dyDescent="0.25">
      <c r="A22" s="5" t="s">
        <v>494</v>
      </c>
      <c r="B22" s="5" t="s">
        <v>483</v>
      </c>
      <c r="C22" s="5" t="s">
        <v>209</v>
      </c>
      <c r="D22" s="5" t="str">
        <f>IF($C22="","",INDEX(PLAN_DESARROLLO!$B:$B,MATCH($C22,PLAN_DESARROLLO!$A:$A,0)))</f>
        <v>2024257770016</v>
      </c>
      <c r="E22" s="5" t="str">
        <f>IF($C22="","",INDEX(PLAN_DESARROLLO!$C:$C,MATCH($C22,PLAN_DESARROLLO!$A:$A,0)))</f>
        <v>POR EL SUPATÁ SOÑADO AVANZAMOS JUNTOS EN LA LÍNEA ESTRATÉGICA SOCIAL</v>
      </c>
      <c r="F22" s="5" t="str">
        <f>IF($C22="","",INDEX(PLAN_DESARROLLO!$D:$D,MATCH($C22,PLAN_DESARROLLO!$A:$A,0)))</f>
        <v>VIVIENDA, CIUDAD Y TERRITORIO</v>
      </c>
      <c r="G22" s="5" t="str">
        <f>IF($C22="","",INDEX(PLAN_DESARROLLO!$E:$E,MATCH($C22,PLAN_DESARROLLO!$A:$A,0)))</f>
        <v>Estudios y diseños para la construcción de la casa de gobierno</v>
      </c>
      <c r="H22" s="12">
        <v>1</v>
      </c>
      <c r="I22" s="12">
        <v>1</v>
      </c>
      <c r="J22" s="6">
        <f t="shared" si="2"/>
        <v>1</v>
      </c>
      <c r="K22" s="8">
        <v>0</v>
      </c>
      <c r="L22" s="8">
        <v>0</v>
      </c>
      <c r="M22" s="6">
        <f t="shared" si="3"/>
        <v>0</v>
      </c>
      <c r="N22" s="5" t="s">
        <v>533</v>
      </c>
      <c r="O22" s="5" t="s">
        <v>514</v>
      </c>
      <c r="P22" s="5" t="s">
        <v>495</v>
      </c>
      <c r="Q22" s="5" t="s">
        <v>504</v>
      </c>
      <c r="R22" s="5"/>
      <c r="S22" s="5"/>
      <c r="T22" s="10">
        <f t="shared" ca="1" si="4"/>
        <v>46059</v>
      </c>
      <c r="U22" s="5"/>
    </row>
    <row r="23" spans="1:21" ht="60" x14ac:dyDescent="0.25">
      <c r="A23" s="5" t="s">
        <v>498</v>
      </c>
      <c r="B23" s="5" t="s">
        <v>483</v>
      </c>
      <c r="C23" s="5" t="s">
        <v>209</v>
      </c>
      <c r="D23" s="5" t="str">
        <f>IF($C23="","",INDEX(PLAN_DESARROLLO!$B:$B,MATCH($C23,PLAN_DESARROLLO!$A:$A,0)))</f>
        <v>2024257770016</v>
      </c>
      <c r="E23" s="5" t="str">
        <f>IF($C23="","",INDEX(PLAN_DESARROLLO!$C:$C,MATCH($C23,PLAN_DESARROLLO!$A:$A,0)))</f>
        <v>POR EL SUPATÁ SOÑADO AVANZAMOS JUNTOS EN LA LÍNEA ESTRATÉGICA SOCIAL</v>
      </c>
      <c r="F23" s="5" t="str">
        <f>IF($C23="","",INDEX(PLAN_DESARROLLO!$D:$D,MATCH($C23,PLAN_DESARROLLO!$A:$A,0)))</f>
        <v>VIVIENDA, CIUDAD Y TERRITORIO</v>
      </c>
      <c r="G23" s="5" t="str">
        <f>IF($C23="","",INDEX(PLAN_DESARROLLO!$E:$E,MATCH($C23,PLAN_DESARROLLO!$A:$A,0)))</f>
        <v>Estudios y diseños para la construcción de la casa de gobierno</v>
      </c>
      <c r="H23" s="12">
        <v>1</v>
      </c>
      <c r="I23" s="12">
        <v>1</v>
      </c>
      <c r="J23" s="6">
        <f t="shared" si="2"/>
        <v>1</v>
      </c>
      <c r="K23" s="8">
        <v>0</v>
      </c>
      <c r="L23" s="8">
        <v>0</v>
      </c>
      <c r="M23" s="6">
        <f t="shared" si="3"/>
        <v>0</v>
      </c>
      <c r="N23" s="5" t="s">
        <v>555</v>
      </c>
      <c r="O23" s="5" t="s">
        <v>514</v>
      </c>
      <c r="P23" s="5" t="s">
        <v>502</v>
      </c>
      <c r="Q23" s="5" t="s">
        <v>504</v>
      </c>
      <c r="R23" s="5"/>
      <c r="S23" s="5"/>
      <c r="T23" s="10">
        <f t="shared" ca="1" si="4"/>
        <v>46059</v>
      </c>
      <c r="U23" s="5"/>
    </row>
    <row r="24" spans="1:21" ht="30" x14ac:dyDescent="0.25">
      <c r="A24" s="5" t="s">
        <v>494</v>
      </c>
      <c r="B24" s="5" t="s">
        <v>483</v>
      </c>
      <c r="C24" s="5" t="s">
        <v>211</v>
      </c>
      <c r="D24" s="5" t="str">
        <f>IF($C24="","",INDEX(PLAN_DESARROLLO!$B:$B,MATCH($C24,PLAN_DESARROLLO!$A:$A,0)))</f>
        <v>2024257770017</v>
      </c>
      <c r="E24" s="5" t="str">
        <f>IF($C24="","",INDEX(PLAN_DESARROLLO!$C:$C,MATCH($C24,PLAN_DESARROLLO!$A:$A,0)))</f>
        <v>POR EL SUPATÁ SOÑADO AVANZAMOS JUNTOS EN LA LÍNEA ESTRATÉGICA SOCIAL</v>
      </c>
      <c r="F24" s="5" t="str">
        <f>IF($C24="","",INDEX(PLAN_DESARROLLO!$D:$D,MATCH($C24,PLAN_DESARROLLO!$A:$A,0)))</f>
        <v>A.P.S.B</v>
      </c>
      <c r="G24" s="5" t="str">
        <f>IF($C24="","",INDEX(PLAN_DESARROLLO!$E:$E,MATCH($C24,PLAN_DESARROLLO!$A:$A,0)))</f>
        <v xml:space="preserve">Realizar 1 optimizacion a la  planta de tratamiento de agua potable </v>
      </c>
      <c r="H24" s="12">
        <v>0</v>
      </c>
      <c r="I24" s="12">
        <v>0</v>
      </c>
      <c r="J24" s="6">
        <f t="shared" si="2"/>
        <v>0</v>
      </c>
      <c r="K24" s="8">
        <v>0</v>
      </c>
      <c r="L24" s="8">
        <v>0</v>
      </c>
      <c r="M24" s="6">
        <f t="shared" si="3"/>
        <v>0</v>
      </c>
      <c r="N24" s="5"/>
      <c r="O24" s="5"/>
      <c r="P24" s="5"/>
      <c r="Q24" s="5"/>
      <c r="R24" s="5"/>
      <c r="S24" s="5"/>
      <c r="T24" s="10">
        <f t="shared" ca="1" si="4"/>
        <v>46059</v>
      </c>
      <c r="U24" s="5"/>
    </row>
    <row r="25" spans="1:21" ht="45" x14ac:dyDescent="0.25">
      <c r="A25" s="5" t="s">
        <v>498</v>
      </c>
      <c r="B25" s="5" t="s">
        <v>483</v>
      </c>
      <c r="C25" s="5" t="s">
        <v>211</v>
      </c>
      <c r="D25" s="5" t="str">
        <f>IF($C25="","",INDEX(PLAN_DESARROLLO!$B:$B,MATCH($C25,PLAN_DESARROLLO!$A:$A,0)))</f>
        <v>2024257770017</v>
      </c>
      <c r="E25" s="5" t="str">
        <f>IF($C25="","",INDEX(PLAN_DESARROLLO!$C:$C,MATCH($C25,PLAN_DESARROLLO!$A:$A,0)))</f>
        <v>POR EL SUPATÁ SOÑADO AVANZAMOS JUNTOS EN LA LÍNEA ESTRATÉGICA SOCIAL</v>
      </c>
      <c r="F25" s="5" t="str">
        <f>IF($C25="","",INDEX(PLAN_DESARROLLO!$D:$D,MATCH($C25,PLAN_DESARROLLO!$A:$A,0)))</f>
        <v>A.P.S.B</v>
      </c>
      <c r="G25" s="5" t="str">
        <f>IF($C25="","",INDEX(PLAN_DESARROLLO!$E:$E,MATCH($C25,PLAN_DESARROLLO!$A:$A,0)))</f>
        <v xml:space="preserve">Realizar 1 optimizacion a la  planta de tratamiento de agua potable </v>
      </c>
      <c r="H25" s="12">
        <v>1</v>
      </c>
      <c r="I25" s="12">
        <v>1</v>
      </c>
      <c r="J25" s="6">
        <f t="shared" si="2"/>
        <v>1</v>
      </c>
      <c r="K25" s="8">
        <v>57470328.5</v>
      </c>
      <c r="L25" s="8">
        <v>57470328.5</v>
      </c>
      <c r="M25" s="6">
        <f t="shared" si="3"/>
        <v>1</v>
      </c>
      <c r="N25" s="5" t="s">
        <v>563</v>
      </c>
      <c r="O25" s="5" t="s">
        <v>564</v>
      </c>
      <c r="P25" s="5" t="s">
        <v>499</v>
      </c>
      <c r="Q25" s="5" t="s">
        <v>504</v>
      </c>
      <c r="R25" s="5"/>
      <c r="S25" s="5"/>
      <c r="T25" s="10">
        <f t="shared" ca="1" si="4"/>
        <v>46059</v>
      </c>
      <c r="U25" s="5"/>
    </row>
    <row r="26" spans="1:21" ht="30" x14ac:dyDescent="0.25">
      <c r="A26" s="5" t="s">
        <v>494</v>
      </c>
      <c r="B26" s="5" t="s">
        <v>483</v>
      </c>
      <c r="C26" s="5" t="s">
        <v>215</v>
      </c>
      <c r="D26" s="5" t="str">
        <f>IF($C26="","",INDEX(PLAN_DESARROLLO!$B:$B,MATCH($C26,PLAN_DESARROLLO!$A:$A,0)))</f>
        <v>2024257770017</v>
      </c>
      <c r="E26" s="5" t="str">
        <f>IF($C26="","",INDEX(PLAN_DESARROLLO!$C:$C,MATCH($C26,PLAN_DESARROLLO!$A:$A,0)))</f>
        <v>POR EL SUPATÁ SOÑADO AVANZAMOS JUNTOS EN LA LÍNEA ESTRATÉGICA SOCIAL</v>
      </c>
      <c r="F26" s="5" t="str">
        <f>IF($C26="","",INDEX(PLAN_DESARROLLO!$D:$D,MATCH($C26,PLAN_DESARROLLO!$A:$A,0)))</f>
        <v>A.P.S.B</v>
      </c>
      <c r="G26" s="5" t="str">
        <f>IF($C26="","",INDEX(PLAN_DESARROLLO!$E:$E,MATCH($C26,PLAN_DESARROLLO!$A:$A,0)))</f>
        <v>Otorgar  anualmente subsidios a los usuarios de los servicios de acueducto, de los estratos 1, 2 y 3 del área urbana,en el cuatrienio</v>
      </c>
      <c r="H26" s="12">
        <v>1</v>
      </c>
      <c r="I26" s="12">
        <v>1</v>
      </c>
      <c r="J26" s="6">
        <f t="shared" si="2"/>
        <v>1</v>
      </c>
      <c r="K26" s="8">
        <v>22731829</v>
      </c>
      <c r="L26" s="8">
        <v>22731829</v>
      </c>
      <c r="M26" s="6">
        <f t="shared" si="3"/>
        <v>1</v>
      </c>
      <c r="N26" s="5" t="s">
        <v>567</v>
      </c>
      <c r="O26" s="5" t="s">
        <v>564</v>
      </c>
      <c r="P26" s="5" t="s">
        <v>502</v>
      </c>
      <c r="Q26" s="5" t="s">
        <v>565</v>
      </c>
      <c r="R26" s="5"/>
      <c r="S26" s="5"/>
      <c r="T26" s="10">
        <f t="shared" ca="1" si="4"/>
        <v>46059</v>
      </c>
      <c r="U26" s="5"/>
    </row>
    <row r="27" spans="1:21" ht="30" x14ac:dyDescent="0.25">
      <c r="A27" s="5" t="s">
        <v>498</v>
      </c>
      <c r="B27" s="5" t="s">
        <v>483</v>
      </c>
      <c r="C27" s="5" t="s">
        <v>215</v>
      </c>
      <c r="D27" s="5" t="str">
        <f>IF($C27="","",INDEX(PLAN_DESARROLLO!$B:$B,MATCH($C27,PLAN_DESARROLLO!$A:$A,0)))</f>
        <v>2024257770017</v>
      </c>
      <c r="E27" s="5" t="str">
        <f>IF($C27="","",INDEX(PLAN_DESARROLLO!$C:$C,MATCH($C27,PLAN_DESARROLLO!$A:$A,0)))</f>
        <v>POR EL SUPATÁ SOÑADO AVANZAMOS JUNTOS EN LA LÍNEA ESTRATÉGICA SOCIAL</v>
      </c>
      <c r="F27" s="5" t="str">
        <f>IF($C27="","",INDEX(PLAN_DESARROLLO!$D:$D,MATCH($C27,PLAN_DESARROLLO!$A:$A,0)))</f>
        <v>A.P.S.B</v>
      </c>
      <c r="G27" s="5" t="str">
        <f>IF($C27="","",INDEX(PLAN_DESARROLLO!$E:$E,MATCH($C27,PLAN_DESARROLLO!$A:$A,0)))</f>
        <v>Otorgar  anualmente subsidios a los usuarios de los servicios de acueducto, de los estratos 1, 2 y 3 del área urbana,en el cuatrienio</v>
      </c>
      <c r="H27" s="12">
        <v>1</v>
      </c>
      <c r="I27" s="12">
        <v>1</v>
      </c>
      <c r="J27" s="6">
        <f t="shared" si="2"/>
        <v>1</v>
      </c>
      <c r="K27" s="8">
        <v>25162536</v>
      </c>
      <c r="L27" s="8">
        <v>25162536</v>
      </c>
      <c r="M27" s="6">
        <f t="shared" si="3"/>
        <v>1</v>
      </c>
      <c r="N27" s="5" t="s">
        <v>567</v>
      </c>
      <c r="O27" s="5" t="s">
        <v>564</v>
      </c>
      <c r="P27" s="5" t="s">
        <v>502</v>
      </c>
      <c r="Q27" s="5" t="s">
        <v>565</v>
      </c>
      <c r="R27" s="5"/>
      <c r="S27" s="5"/>
      <c r="T27" s="10">
        <f t="shared" ca="1" si="4"/>
        <v>46059</v>
      </c>
      <c r="U27" s="5"/>
    </row>
    <row r="28" spans="1:21" ht="30" x14ac:dyDescent="0.25">
      <c r="A28" s="5" t="s">
        <v>494</v>
      </c>
      <c r="B28" s="5" t="s">
        <v>483</v>
      </c>
      <c r="C28" s="5" t="s">
        <v>217</v>
      </c>
      <c r="D28" s="5" t="str">
        <f>IF($C28="","",INDEX(PLAN_DESARROLLO!$B:$B,MATCH($C28,PLAN_DESARROLLO!$A:$A,0)))</f>
        <v>2024257770017</v>
      </c>
      <c r="E28" s="5" t="str">
        <f>IF($C28="","",INDEX(PLAN_DESARROLLO!$C:$C,MATCH($C28,PLAN_DESARROLLO!$A:$A,0)))</f>
        <v>POR EL SUPATÁ SOÑADO AVANZAMOS JUNTOS EN LA LÍNEA ESTRATÉGICA SOCIAL</v>
      </c>
      <c r="F28" s="5" t="str">
        <f>IF($C28="","",INDEX(PLAN_DESARROLLO!$D:$D,MATCH($C28,PLAN_DESARROLLO!$A:$A,0)))</f>
        <v>A.P.S.B</v>
      </c>
      <c r="G28" s="5" t="str">
        <f>IF($C28="","",INDEX(PLAN_DESARROLLO!$E:$E,MATCH($C28,PLAN_DESARROLLO!$A:$A,0)))</f>
        <v xml:space="preserve">Realizar optimizaciones a los acueductos veredales </v>
      </c>
      <c r="H28" s="12">
        <v>1</v>
      </c>
      <c r="I28" s="12">
        <v>0</v>
      </c>
      <c r="J28" s="6">
        <f t="shared" si="2"/>
        <v>0</v>
      </c>
      <c r="K28" s="8">
        <v>0</v>
      </c>
      <c r="L28" s="8">
        <v>0</v>
      </c>
      <c r="M28" s="6">
        <f t="shared" si="3"/>
        <v>0</v>
      </c>
      <c r="N28" s="5"/>
      <c r="O28" s="5"/>
      <c r="P28" s="5"/>
      <c r="Q28" s="5"/>
      <c r="R28" s="5"/>
      <c r="S28" s="5"/>
      <c r="T28" s="10">
        <f t="shared" ca="1" si="4"/>
        <v>46059</v>
      </c>
      <c r="U28" s="5"/>
    </row>
    <row r="29" spans="1:21" ht="105" x14ac:dyDescent="0.25">
      <c r="A29" s="5" t="s">
        <v>498</v>
      </c>
      <c r="B29" s="5" t="s">
        <v>483</v>
      </c>
      <c r="C29" s="5" t="s">
        <v>217</v>
      </c>
      <c r="D29" s="5" t="str">
        <f>IF($C29="","",INDEX(PLAN_DESARROLLO!$B:$B,MATCH($C29,PLAN_DESARROLLO!$A:$A,0)))</f>
        <v>2024257770017</v>
      </c>
      <c r="E29" s="5" t="str">
        <f>IF($C29="","",INDEX(PLAN_DESARROLLO!$C:$C,MATCH($C29,PLAN_DESARROLLO!$A:$A,0)))</f>
        <v>POR EL SUPATÁ SOÑADO AVANZAMOS JUNTOS EN LA LÍNEA ESTRATÉGICA SOCIAL</v>
      </c>
      <c r="F29" s="5" t="str">
        <f>IF($C29="","",INDEX(PLAN_DESARROLLO!$D:$D,MATCH($C29,PLAN_DESARROLLO!$A:$A,0)))</f>
        <v>A.P.S.B</v>
      </c>
      <c r="G29" s="5" t="str">
        <f>IF($C29="","",INDEX(PLAN_DESARROLLO!$E:$E,MATCH($C29,PLAN_DESARROLLO!$A:$A,0)))</f>
        <v xml:space="preserve">Realizar optimizaciones a los acueductos veredales </v>
      </c>
      <c r="H29" s="12">
        <v>1</v>
      </c>
      <c r="I29" s="12">
        <v>2</v>
      </c>
      <c r="J29" s="6">
        <f t="shared" si="2"/>
        <v>2</v>
      </c>
      <c r="K29" s="8">
        <f>98381800+127531800</f>
        <v>225913600</v>
      </c>
      <c r="L29" s="8">
        <f>98381800+127531800</f>
        <v>225913600</v>
      </c>
      <c r="M29" s="6">
        <f t="shared" si="3"/>
        <v>1</v>
      </c>
      <c r="N29" s="5" t="s">
        <v>575</v>
      </c>
      <c r="O29" s="5" t="s">
        <v>576</v>
      </c>
      <c r="P29" s="5" t="s">
        <v>502</v>
      </c>
      <c r="Q29" s="5" t="s">
        <v>504</v>
      </c>
      <c r="R29" s="5"/>
      <c r="S29" s="5"/>
      <c r="T29" s="10">
        <f t="shared" ca="1" si="4"/>
        <v>46059</v>
      </c>
      <c r="U29" s="5"/>
    </row>
    <row r="30" spans="1:21" ht="30" x14ac:dyDescent="0.25">
      <c r="A30" s="5" t="s">
        <v>494</v>
      </c>
      <c r="B30" s="5" t="s">
        <v>483</v>
      </c>
      <c r="C30" s="5" t="s">
        <v>219</v>
      </c>
      <c r="D30" s="5" t="str">
        <f>IF($C30="","",INDEX(PLAN_DESARROLLO!$B:$B,MATCH($C30,PLAN_DESARROLLO!$A:$A,0)))</f>
        <v>2024257770017</v>
      </c>
      <c r="E30" s="5" t="str">
        <f>IF($C30="","",INDEX(PLAN_DESARROLLO!$C:$C,MATCH($C30,PLAN_DESARROLLO!$A:$A,0)))</f>
        <v>POR EL SUPATÁ SOÑADO AVANZAMOS JUNTOS EN LA LÍNEA ESTRATÉGICA SOCIAL</v>
      </c>
      <c r="F30" s="5" t="str">
        <f>IF($C30="","",INDEX(PLAN_DESARROLLO!$D:$D,MATCH($C30,PLAN_DESARROLLO!$A:$A,0)))</f>
        <v>A.P.S.B</v>
      </c>
      <c r="G30" s="5" t="str">
        <f>IF($C30="","",INDEX(PLAN_DESARROLLO!$E:$E,MATCH($C30,PLAN_DESARROLLO!$A:$A,0)))</f>
        <v>Realizar la construcción de 200 metros lineales de red de acueducto en el municipio</v>
      </c>
      <c r="H30" s="12">
        <v>0</v>
      </c>
      <c r="I30" s="12">
        <v>0</v>
      </c>
      <c r="J30" s="6">
        <f t="shared" si="2"/>
        <v>0</v>
      </c>
      <c r="K30" s="8">
        <v>0</v>
      </c>
      <c r="L30" s="8">
        <v>0</v>
      </c>
      <c r="M30" s="6">
        <f t="shared" si="3"/>
        <v>0</v>
      </c>
      <c r="N30" s="5"/>
      <c r="O30" s="5"/>
      <c r="P30" s="5"/>
      <c r="Q30" s="5"/>
      <c r="R30" s="5"/>
      <c r="S30" s="5"/>
      <c r="T30" s="10">
        <f t="shared" ca="1" si="4"/>
        <v>46059</v>
      </c>
      <c r="U30" s="5"/>
    </row>
    <row r="31" spans="1:21" ht="30" x14ac:dyDescent="0.25">
      <c r="A31" s="5" t="s">
        <v>498</v>
      </c>
      <c r="B31" s="5" t="s">
        <v>483</v>
      </c>
      <c r="C31" s="5" t="s">
        <v>219</v>
      </c>
      <c r="D31" s="5" t="str">
        <f>IF($C31="","",INDEX(PLAN_DESARROLLO!$B:$B,MATCH($C31,PLAN_DESARROLLO!$A:$A,0)))</f>
        <v>2024257770017</v>
      </c>
      <c r="E31" s="5" t="str">
        <f>IF($C31="","",INDEX(PLAN_DESARROLLO!$C:$C,MATCH($C31,PLAN_DESARROLLO!$A:$A,0)))</f>
        <v>POR EL SUPATÁ SOÑADO AVANZAMOS JUNTOS EN LA LÍNEA ESTRATÉGICA SOCIAL</v>
      </c>
      <c r="F31" s="5" t="str">
        <f>IF($C31="","",INDEX(PLAN_DESARROLLO!$D:$D,MATCH($C31,PLAN_DESARROLLO!$A:$A,0)))</f>
        <v>A.P.S.B</v>
      </c>
      <c r="G31" s="5" t="str">
        <f>IF($C31="","",INDEX(PLAN_DESARROLLO!$E:$E,MATCH($C31,PLAN_DESARROLLO!$A:$A,0)))</f>
        <v>Realizar la construcción de 200 metros lineales de red de acueducto en el municipio</v>
      </c>
      <c r="H31" s="12">
        <v>0</v>
      </c>
      <c r="I31" s="12">
        <v>0</v>
      </c>
      <c r="J31" s="6">
        <f t="shared" si="2"/>
        <v>0</v>
      </c>
      <c r="K31" s="8">
        <v>0</v>
      </c>
      <c r="L31" s="8">
        <v>0</v>
      </c>
      <c r="M31" s="6">
        <f t="shared" si="3"/>
        <v>0</v>
      </c>
      <c r="N31" s="5"/>
      <c r="O31" s="5"/>
      <c r="P31" s="5"/>
      <c r="Q31" s="5"/>
      <c r="R31" s="5"/>
      <c r="S31" s="5"/>
      <c r="T31" s="10">
        <f t="shared" ca="1" si="4"/>
        <v>46059</v>
      </c>
      <c r="U31" s="5"/>
    </row>
    <row r="32" spans="1:21" ht="30" x14ac:dyDescent="0.25">
      <c r="A32" s="5" t="s">
        <v>494</v>
      </c>
      <c r="B32" s="5" t="s">
        <v>483</v>
      </c>
      <c r="C32" s="5" t="s">
        <v>221</v>
      </c>
      <c r="D32" s="5" t="str">
        <f>IF($C32="","",INDEX(PLAN_DESARROLLO!$B:$B,MATCH($C32,PLAN_DESARROLLO!$A:$A,0)))</f>
        <v>2024257770017</v>
      </c>
      <c r="E32" s="5" t="str">
        <f>IF($C32="","",INDEX(PLAN_DESARROLLO!$C:$C,MATCH($C32,PLAN_DESARROLLO!$A:$A,0)))</f>
        <v>POR EL SUPATÁ SOÑADO AVANZAMOS JUNTOS EN LA LÍNEA ESTRATÉGICA SOCIAL</v>
      </c>
      <c r="F32" s="5" t="str">
        <f>IF($C32="","",INDEX(PLAN_DESARROLLO!$D:$D,MATCH($C32,PLAN_DESARROLLO!$A:$A,0)))</f>
        <v>A.P.S.B</v>
      </c>
      <c r="G32" s="5" t="str">
        <f>IF($C32="","",INDEX(PLAN_DESARROLLO!$E:$E,MATCH($C32,PLAN_DESARROLLO!$A:$A,0)))</f>
        <v>Transferir anualmente al Plan Departamental de Aguas            -PDA- los recursos comprometidos a través de Acuerdo Municipal en el cuatrienio.</v>
      </c>
      <c r="H32" s="12">
        <v>1</v>
      </c>
      <c r="I32" s="12">
        <v>1</v>
      </c>
      <c r="J32" s="6">
        <f t="shared" si="2"/>
        <v>1</v>
      </c>
      <c r="K32" s="8">
        <v>442578049</v>
      </c>
      <c r="L32" s="8">
        <v>442578049</v>
      </c>
      <c r="M32" s="6">
        <f t="shared" si="3"/>
        <v>1</v>
      </c>
      <c r="N32" s="5" t="s">
        <v>583</v>
      </c>
      <c r="O32" s="5" t="s">
        <v>564</v>
      </c>
      <c r="P32" s="5" t="s">
        <v>502</v>
      </c>
      <c r="Q32" s="5" t="s">
        <v>565</v>
      </c>
      <c r="R32" s="5"/>
      <c r="S32" s="5"/>
      <c r="T32" s="10">
        <f t="shared" ca="1" si="4"/>
        <v>46059</v>
      </c>
      <c r="U32" s="5"/>
    </row>
    <row r="33" spans="1:21" ht="30" x14ac:dyDescent="0.25">
      <c r="A33" s="5" t="s">
        <v>498</v>
      </c>
      <c r="B33" s="5" t="s">
        <v>483</v>
      </c>
      <c r="C33" s="5" t="s">
        <v>221</v>
      </c>
      <c r="D33" s="5" t="str">
        <f>IF($C33="","",INDEX(PLAN_DESARROLLO!$B:$B,MATCH($C33,PLAN_DESARROLLO!$A:$A,0)))</f>
        <v>2024257770017</v>
      </c>
      <c r="E33" s="5" t="str">
        <f>IF($C33="","",INDEX(PLAN_DESARROLLO!$C:$C,MATCH($C33,PLAN_DESARROLLO!$A:$A,0)))</f>
        <v>POR EL SUPATÁ SOÑADO AVANZAMOS JUNTOS EN LA LÍNEA ESTRATÉGICA SOCIAL</v>
      </c>
      <c r="F33" s="5" t="str">
        <f>IF($C33="","",INDEX(PLAN_DESARROLLO!$D:$D,MATCH($C33,PLAN_DESARROLLO!$A:$A,0)))</f>
        <v>A.P.S.B</v>
      </c>
      <c r="G33" s="5" t="str">
        <f>IF($C33="","",INDEX(PLAN_DESARROLLO!$E:$E,MATCH($C33,PLAN_DESARROLLO!$A:$A,0)))</f>
        <v>Transferir anualmente al Plan Departamental de Aguas            -PDA- los recursos comprometidos a través de Acuerdo Municipal en el cuatrienio.</v>
      </c>
      <c r="H33" s="12">
        <v>1</v>
      </c>
      <c r="I33" s="12">
        <v>1</v>
      </c>
      <c r="J33" s="6">
        <f t="shared" si="2"/>
        <v>1</v>
      </c>
      <c r="K33" s="8">
        <v>553324591.20000005</v>
      </c>
      <c r="L33" s="8">
        <v>553324591.20000005</v>
      </c>
      <c r="M33" s="6">
        <f t="shared" si="3"/>
        <v>1</v>
      </c>
      <c r="N33" s="5" t="s">
        <v>584</v>
      </c>
      <c r="O33" s="5" t="s">
        <v>564</v>
      </c>
      <c r="P33" s="5" t="s">
        <v>502</v>
      </c>
      <c r="Q33" s="5" t="s">
        <v>565</v>
      </c>
      <c r="R33" s="5"/>
      <c r="S33" s="5"/>
      <c r="T33" s="10">
        <f t="shared" ca="1" si="4"/>
        <v>46059</v>
      </c>
      <c r="U33" s="5"/>
    </row>
    <row r="34" spans="1:21" ht="75" x14ac:dyDescent="0.25">
      <c r="A34" s="5" t="s">
        <v>494</v>
      </c>
      <c r="B34" s="5" t="s">
        <v>483</v>
      </c>
      <c r="C34" s="5" t="s">
        <v>223</v>
      </c>
      <c r="D34" s="5" t="str">
        <f>IF($C34="","",INDEX(PLAN_DESARROLLO!$B:$B,MATCH($C34,PLAN_DESARROLLO!$A:$A,0)))</f>
        <v>2024257770017</v>
      </c>
      <c r="E34" s="5" t="str">
        <f>IF($C34="","",INDEX(PLAN_DESARROLLO!$C:$C,MATCH($C34,PLAN_DESARROLLO!$A:$A,0)))</f>
        <v>POR EL SUPATÁ SOÑADO AVANZAMOS JUNTOS EN LA LÍNEA ESTRATÉGICA SOCIAL</v>
      </c>
      <c r="F34" s="5" t="str">
        <f>IF($C34="","",INDEX(PLAN_DESARROLLO!$D:$D,MATCH($C34,PLAN_DESARROLLO!$A:$A,0)))</f>
        <v>A.P.S.B</v>
      </c>
      <c r="G34" s="5" t="str">
        <f>IF($C34="","",INDEX(PLAN_DESARROLLO!$E:$E,MATCH($C34,PLAN_DESARROLLO!$A:$A,0)))</f>
        <v>Realizar anulmente doce (12)  analisis de calidad del agua de acuerdo a la resolucion 2115 de 2007</v>
      </c>
      <c r="H34" s="12">
        <v>12</v>
      </c>
      <c r="I34" s="12">
        <v>7</v>
      </c>
      <c r="J34" s="6">
        <f t="shared" si="2"/>
        <v>0.58333333333333337</v>
      </c>
      <c r="K34" s="8">
        <v>8554315</v>
      </c>
      <c r="L34" s="8">
        <v>8554315</v>
      </c>
      <c r="M34" s="6">
        <f t="shared" si="3"/>
        <v>1</v>
      </c>
      <c r="N34" s="5" t="s">
        <v>569</v>
      </c>
      <c r="O34" s="5" t="s">
        <v>496</v>
      </c>
      <c r="P34" s="5" t="s">
        <v>502</v>
      </c>
      <c r="Q34" s="5" t="s">
        <v>504</v>
      </c>
      <c r="R34" s="5"/>
      <c r="S34" s="5"/>
      <c r="T34" s="10">
        <f t="shared" ca="1" si="4"/>
        <v>46059</v>
      </c>
      <c r="U34" s="5"/>
    </row>
    <row r="35" spans="1:21" ht="60" x14ac:dyDescent="0.25">
      <c r="A35" s="5" t="s">
        <v>498</v>
      </c>
      <c r="B35" s="5" t="s">
        <v>483</v>
      </c>
      <c r="C35" s="5" t="s">
        <v>223</v>
      </c>
      <c r="D35" s="5" t="str">
        <f>IF($C35="","",INDEX(PLAN_DESARROLLO!$B:$B,MATCH($C35,PLAN_DESARROLLO!$A:$A,0)))</f>
        <v>2024257770017</v>
      </c>
      <c r="E35" s="5" t="str">
        <f>IF($C35="","",INDEX(PLAN_DESARROLLO!$C:$C,MATCH($C35,PLAN_DESARROLLO!$A:$A,0)))</f>
        <v>POR EL SUPATÁ SOÑADO AVANZAMOS JUNTOS EN LA LÍNEA ESTRATÉGICA SOCIAL</v>
      </c>
      <c r="F35" s="5" t="str">
        <f>IF($C35="","",INDEX(PLAN_DESARROLLO!$D:$D,MATCH($C35,PLAN_DESARROLLO!$A:$A,0)))</f>
        <v>A.P.S.B</v>
      </c>
      <c r="G35" s="5" t="str">
        <f>IF($C35="","",INDEX(PLAN_DESARROLLO!$E:$E,MATCH($C35,PLAN_DESARROLLO!$A:$A,0)))</f>
        <v>Realizar anulmente doce (12)  analisis de calidad del agua de acuerdo a la resolucion 2115 de 2007</v>
      </c>
      <c r="H35" s="12">
        <v>12</v>
      </c>
      <c r="I35" s="12">
        <v>12</v>
      </c>
      <c r="J35" s="6">
        <f t="shared" si="2"/>
        <v>1</v>
      </c>
      <c r="K35" s="8">
        <v>8827420</v>
      </c>
      <c r="L35" s="8">
        <v>8827420</v>
      </c>
      <c r="M35" s="6">
        <f t="shared" si="3"/>
        <v>1</v>
      </c>
      <c r="N35" s="5" t="s">
        <v>573</v>
      </c>
      <c r="O35" s="5" t="s">
        <v>496</v>
      </c>
      <c r="P35" s="5" t="s">
        <v>502</v>
      </c>
      <c r="Q35" s="5" t="s">
        <v>504</v>
      </c>
      <c r="R35" s="5"/>
      <c r="S35" s="5"/>
      <c r="T35" s="10">
        <f t="shared" ca="1" si="4"/>
        <v>46059</v>
      </c>
      <c r="U35" s="5"/>
    </row>
    <row r="36" spans="1:21" ht="45" x14ac:dyDescent="0.25">
      <c r="A36" s="5" t="s">
        <v>494</v>
      </c>
      <c r="B36" s="5" t="s">
        <v>483</v>
      </c>
      <c r="C36" s="5" t="s">
        <v>225</v>
      </c>
      <c r="D36" s="5" t="str">
        <f>IF($C36="","",INDEX(PLAN_DESARROLLO!$B:$B,MATCH($C36,PLAN_DESARROLLO!$A:$A,0)))</f>
        <v>2024257770017</v>
      </c>
      <c r="E36" s="5" t="str">
        <f>IF($C36="","",INDEX(PLAN_DESARROLLO!$C:$C,MATCH($C36,PLAN_DESARROLLO!$A:$A,0)))</f>
        <v>POR EL SUPATÁ SOÑADO AVANZAMOS JUNTOS EN LA LÍNEA ESTRATÉGICA SOCIAL</v>
      </c>
      <c r="F36" s="5" t="str">
        <f>IF($C36="","",INDEX(PLAN_DESARROLLO!$D:$D,MATCH($C36,PLAN_DESARROLLO!$A:$A,0)))</f>
        <v>A.P.S.B</v>
      </c>
      <c r="G36" s="5" t="str">
        <f>IF($C36="","",INDEX(PLAN_DESARROLLO!$E:$E,MATCH($C36,PLAN_DESARROLLO!$A:$A,0)))</f>
        <v>elaborar el programa de Uso Eficiente y Ahorro del Agua (PUEAA) en el municipio durante el cuatrienio</v>
      </c>
      <c r="H36" s="12">
        <v>1</v>
      </c>
      <c r="I36" s="12">
        <v>1</v>
      </c>
      <c r="J36" s="6">
        <f t="shared" si="2"/>
        <v>1</v>
      </c>
      <c r="K36" s="8">
        <v>34900000</v>
      </c>
      <c r="L36" s="8">
        <v>34900000</v>
      </c>
      <c r="M36" s="6">
        <f t="shared" si="3"/>
        <v>1</v>
      </c>
      <c r="N36" s="5" t="s">
        <v>570</v>
      </c>
      <c r="O36" s="5" t="s">
        <v>564</v>
      </c>
      <c r="P36" s="5" t="s">
        <v>502</v>
      </c>
      <c r="Q36" s="5" t="s">
        <v>504</v>
      </c>
      <c r="R36" s="5"/>
      <c r="S36" s="5"/>
      <c r="T36" s="10">
        <f t="shared" ca="1" si="4"/>
        <v>46059</v>
      </c>
      <c r="U36" s="5"/>
    </row>
    <row r="37" spans="1:21" ht="30" x14ac:dyDescent="0.25">
      <c r="A37" s="5" t="s">
        <v>498</v>
      </c>
      <c r="B37" s="5" t="s">
        <v>483</v>
      </c>
      <c r="C37" s="5" t="s">
        <v>225</v>
      </c>
      <c r="D37" s="5" t="str">
        <f>IF($C37="","",INDEX(PLAN_DESARROLLO!$B:$B,MATCH($C37,PLAN_DESARROLLO!$A:$A,0)))</f>
        <v>2024257770017</v>
      </c>
      <c r="E37" s="5" t="str">
        <f>IF($C37="","",INDEX(PLAN_DESARROLLO!$C:$C,MATCH($C37,PLAN_DESARROLLO!$A:$A,0)))</f>
        <v>POR EL SUPATÁ SOÑADO AVANZAMOS JUNTOS EN LA LÍNEA ESTRATÉGICA SOCIAL</v>
      </c>
      <c r="F37" s="5" t="str">
        <f>IF($C37="","",INDEX(PLAN_DESARROLLO!$D:$D,MATCH($C37,PLAN_DESARROLLO!$A:$A,0)))</f>
        <v>A.P.S.B</v>
      </c>
      <c r="G37" s="5" t="str">
        <f>IF($C37="","",INDEX(PLAN_DESARROLLO!$E:$E,MATCH($C37,PLAN_DESARROLLO!$A:$A,0)))</f>
        <v>elaborar el programa de Uso Eficiente y Ahorro del Agua (PUEAA) en el municipio durante el cuatrienio</v>
      </c>
      <c r="H37" s="12">
        <v>0</v>
      </c>
      <c r="I37" s="12">
        <v>0</v>
      </c>
      <c r="J37" s="6">
        <f t="shared" si="2"/>
        <v>0</v>
      </c>
      <c r="K37" s="8">
        <v>0</v>
      </c>
      <c r="L37" s="8">
        <v>0</v>
      </c>
      <c r="M37" s="6">
        <f t="shared" si="3"/>
        <v>0</v>
      </c>
      <c r="N37" s="5"/>
      <c r="O37" s="5"/>
      <c r="P37" s="5"/>
      <c r="Q37" s="5"/>
      <c r="R37" s="5"/>
      <c r="S37" s="5"/>
      <c r="T37" s="10">
        <f t="shared" ca="1" si="4"/>
        <v>46059</v>
      </c>
      <c r="U37" s="5"/>
    </row>
    <row r="38" spans="1:21" ht="75" x14ac:dyDescent="0.25">
      <c r="A38" s="5" t="s">
        <v>494</v>
      </c>
      <c r="B38" s="5" t="s">
        <v>483</v>
      </c>
      <c r="C38" s="5" t="s">
        <v>227</v>
      </c>
      <c r="D38" s="5" t="str">
        <f>IF($C38="","",INDEX(PLAN_DESARROLLO!$B:$B,MATCH($C38,PLAN_DESARROLLO!$A:$A,0)))</f>
        <v>2024257770017</v>
      </c>
      <c r="E38" s="5" t="str">
        <f>IF($C38="","",INDEX(PLAN_DESARROLLO!$C:$C,MATCH($C38,PLAN_DESARROLLO!$A:$A,0)))</f>
        <v>POR EL SUPATÁ SOÑADO AVANZAMOS JUNTOS EN LA LÍNEA ESTRATÉGICA SOCIAL</v>
      </c>
      <c r="F38" s="5" t="str">
        <f>IF($C38="","",INDEX(PLAN_DESARROLLO!$D:$D,MATCH($C38,PLAN_DESARROLLO!$A:$A,0)))</f>
        <v>A.P.S.B</v>
      </c>
      <c r="G38" s="5" t="str">
        <f>IF($C38="","",INDEX(PLAN_DESARROLLO!$E:$E,MATCH($C38,PLAN_DESARROLLO!$A:$A,0)))</f>
        <v xml:space="preserve">Acompañamiento para la legalizacion de acueductos veredales con requisitos minimos </v>
      </c>
      <c r="H38" s="12">
        <v>1</v>
      </c>
      <c r="I38" s="12">
        <v>2</v>
      </c>
      <c r="J38" s="6">
        <f t="shared" si="2"/>
        <v>2</v>
      </c>
      <c r="K38" s="8">
        <v>0</v>
      </c>
      <c r="L38" s="8">
        <v>0</v>
      </c>
      <c r="M38" s="6">
        <f t="shared" si="3"/>
        <v>0</v>
      </c>
      <c r="N38" s="5" t="s">
        <v>577</v>
      </c>
      <c r="O38" s="5"/>
      <c r="P38" s="5" t="s">
        <v>502</v>
      </c>
      <c r="Q38" s="5" t="s">
        <v>504</v>
      </c>
      <c r="R38" s="5"/>
      <c r="S38" s="5"/>
      <c r="T38" s="10">
        <f t="shared" ca="1" si="4"/>
        <v>46059</v>
      </c>
      <c r="U38" s="5"/>
    </row>
    <row r="39" spans="1:21" ht="60" x14ac:dyDescent="0.25">
      <c r="A39" s="5" t="s">
        <v>498</v>
      </c>
      <c r="B39" s="5" t="s">
        <v>483</v>
      </c>
      <c r="C39" s="5" t="s">
        <v>227</v>
      </c>
      <c r="D39" s="5" t="str">
        <f>IF($C39="","",INDEX(PLAN_DESARROLLO!$B:$B,MATCH($C39,PLAN_DESARROLLO!$A:$A,0)))</f>
        <v>2024257770017</v>
      </c>
      <c r="E39" s="5" t="str">
        <f>IF($C39="","",INDEX(PLAN_DESARROLLO!$C:$C,MATCH($C39,PLAN_DESARROLLO!$A:$A,0)))</f>
        <v>POR EL SUPATÁ SOÑADO AVANZAMOS JUNTOS EN LA LÍNEA ESTRATÉGICA SOCIAL</v>
      </c>
      <c r="F39" s="5" t="str">
        <f>IF($C39="","",INDEX(PLAN_DESARROLLO!$D:$D,MATCH($C39,PLAN_DESARROLLO!$A:$A,0)))</f>
        <v>A.P.S.B</v>
      </c>
      <c r="G39" s="5" t="str">
        <f>IF($C39="","",INDEX(PLAN_DESARROLLO!$E:$E,MATCH($C39,PLAN_DESARROLLO!$A:$A,0)))</f>
        <v xml:space="preserve">Acompañamiento para la legalizacion de acueductos veredales con requisitos minimos </v>
      </c>
      <c r="H39" s="12">
        <v>1</v>
      </c>
      <c r="I39" s="12">
        <v>1</v>
      </c>
      <c r="J39" s="6">
        <f t="shared" si="2"/>
        <v>1</v>
      </c>
      <c r="K39" s="8">
        <v>0</v>
      </c>
      <c r="L39" s="8">
        <v>0</v>
      </c>
      <c r="M39" s="6">
        <f t="shared" si="3"/>
        <v>0</v>
      </c>
      <c r="N39" s="5" t="s">
        <v>578</v>
      </c>
      <c r="O39" s="5"/>
      <c r="P39" s="5" t="s">
        <v>502</v>
      </c>
      <c r="Q39" s="5" t="s">
        <v>504</v>
      </c>
      <c r="R39" s="5"/>
      <c r="S39" s="5"/>
      <c r="T39" s="10">
        <f t="shared" ca="1" si="4"/>
        <v>46059</v>
      </c>
      <c r="U39" s="5"/>
    </row>
    <row r="40" spans="1:21" ht="90" x14ac:dyDescent="0.25">
      <c r="A40" s="5" t="s">
        <v>494</v>
      </c>
      <c r="B40" s="5" t="s">
        <v>483</v>
      </c>
      <c r="C40" s="5" t="s">
        <v>229</v>
      </c>
      <c r="D40" s="5" t="str">
        <f>IF($C40="","",INDEX(PLAN_DESARROLLO!$B:$B,MATCH($C40,PLAN_DESARROLLO!$A:$A,0)))</f>
        <v>2024257770017</v>
      </c>
      <c r="E40" s="5" t="str">
        <f>IF($C40="","",INDEX(PLAN_DESARROLLO!$C:$C,MATCH($C40,PLAN_DESARROLLO!$A:$A,0)))</f>
        <v>POR EL SUPATÁ SOÑADO AVANZAMOS JUNTOS EN LA LÍNEA ESTRATÉGICA SOCIAL</v>
      </c>
      <c r="F40" s="5" t="str">
        <f>IF($C40="","",INDEX(PLAN_DESARROLLO!$D:$D,MATCH($C40,PLAN_DESARROLLO!$A:$A,0)))</f>
        <v>A.P.S.B</v>
      </c>
      <c r="G40" s="5" t="str">
        <f>IF($C40="","",INDEX(PLAN_DESARROLLO!$E:$E,MATCH($C40,PLAN_DESARROLLO!$A:$A,0)))</f>
        <v xml:space="preserve">implementacion de un programa de micromedicion en el area urbana </v>
      </c>
      <c r="H40" s="12">
        <v>1</v>
      </c>
      <c r="I40" s="12">
        <v>1</v>
      </c>
      <c r="J40" s="6">
        <f t="shared" si="2"/>
        <v>1</v>
      </c>
      <c r="K40" s="8">
        <v>19665552</v>
      </c>
      <c r="L40" s="8">
        <v>19665552</v>
      </c>
      <c r="M40" s="6">
        <f t="shared" si="3"/>
        <v>1</v>
      </c>
      <c r="N40" s="5" t="s">
        <v>574</v>
      </c>
      <c r="O40" s="5" t="s">
        <v>564</v>
      </c>
      <c r="P40" s="5" t="s">
        <v>502</v>
      </c>
      <c r="Q40" s="5" t="s">
        <v>504</v>
      </c>
      <c r="R40" s="5"/>
      <c r="S40" s="5"/>
      <c r="T40" s="10">
        <f t="shared" ca="1" si="4"/>
        <v>46059</v>
      </c>
      <c r="U40" s="5"/>
    </row>
    <row r="41" spans="1:21" ht="30" x14ac:dyDescent="0.25">
      <c r="A41" s="5" t="s">
        <v>498</v>
      </c>
      <c r="B41" s="5" t="s">
        <v>483</v>
      </c>
      <c r="C41" s="5" t="s">
        <v>229</v>
      </c>
      <c r="D41" s="5" t="str">
        <f>IF($C41="","",INDEX(PLAN_DESARROLLO!$B:$B,MATCH($C41,PLAN_DESARROLLO!$A:$A,0)))</f>
        <v>2024257770017</v>
      </c>
      <c r="E41" s="5" t="str">
        <f>IF($C41="","",INDEX(PLAN_DESARROLLO!$C:$C,MATCH($C41,PLAN_DESARROLLO!$A:$A,0)))</f>
        <v>POR EL SUPATÁ SOÑADO AVANZAMOS JUNTOS EN LA LÍNEA ESTRATÉGICA SOCIAL</v>
      </c>
      <c r="F41" s="5" t="str">
        <f>IF($C41="","",INDEX(PLAN_DESARROLLO!$D:$D,MATCH($C41,PLAN_DESARROLLO!$A:$A,0)))</f>
        <v>A.P.S.B</v>
      </c>
      <c r="G41" s="5" t="str">
        <f>IF($C41="","",INDEX(PLAN_DESARROLLO!$E:$E,MATCH($C41,PLAN_DESARROLLO!$A:$A,0)))</f>
        <v xml:space="preserve">implementacion de un programa de micromedicion en el area urbana </v>
      </c>
      <c r="H41" s="12">
        <v>1</v>
      </c>
      <c r="I41" s="12">
        <v>0</v>
      </c>
      <c r="J41" s="6">
        <f t="shared" si="2"/>
        <v>0</v>
      </c>
      <c r="K41" s="8">
        <v>0</v>
      </c>
      <c r="L41" s="8">
        <v>0</v>
      </c>
      <c r="M41" s="6">
        <f t="shared" si="3"/>
        <v>0</v>
      </c>
      <c r="N41" s="5"/>
      <c r="O41" s="5"/>
      <c r="P41" s="5"/>
      <c r="Q41" s="5"/>
      <c r="R41" s="5"/>
      <c r="S41" s="5"/>
      <c r="T41" s="10">
        <f t="shared" ca="1" si="4"/>
        <v>46059</v>
      </c>
      <c r="U41" s="5"/>
    </row>
    <row r="42" spans="1:21" ht="105" x14ac:dyDescent="0.25">
      <c r="A42" s="5" t="s">
        <v>494</v>
      </c>
      <c r="B42" s="5" t="s">
        <v>483</v>
      </c>
      <c r="C42" s="5" t="s">
        <v>231</v>
      </c>
      <c r="D42" s="5" t="str">
        <f>IF($C42="","",INDEX(PLAN_DESARROLLO!$B:$B,MATCH($C42,PLAN_DESARROLLO!$A:$A,0)))</f>
        <v>2024257770017</v>
      </c>
      <c r="E42" s="5" t="str">
        <f>IF($C42="","",INDEX(PLAN_DESARROLLO!$C:$C,MATCH($C42,PLAN_DESARROLLO!$A:$A,0)))</f>
        <v>POR EL SUPATÁ SOÑADO AVANZAMOS JUNTOS EN LA LÍNEA ESTRATÉGICA SOCIAL</v>
      </c>
      <c r="F42" s="5" t="str">
        <f>IF($C42="","",INDEX(PLAN_DESARROLLO!$D:$D,MATCH($C42,PLAN_DESARROLLO!$A:$A,0)))</f>
        <v>A.P.S.B</v>
      </c>
      <c r="G42" s="5" t="str">
        <f>IF($C42="","",INDEX(PLAN_DESARROLLO!$E:$E,MATCH($C42,PLAN_DESARROLLO!$A:$A,0)))</f>
        <v>Realizar anulmente el fortalecimiento para el reporte de la informacion de las entidades de control</v>
      </c>
      <c r="H42" s="12">
        <v>1</v>
      </c>
      <c r="I42" s="12">
        <v>1</v>
      </c>
      <c r="J42" s="6">
        <f t="shared" si="2"/>
        <v>1</v>
      </c>
      <c r="K42" s="8">
        <v>14700000</v>
      </c>
      <c r="L42" s="8">
        <v>14700000</v>
      </c>
      <c r="M42" s="6">
        <f t="shared" si="3"/>
        <v>1</v>
      </c>
      <c r="N42" s="5" t="s">
        <v>571</v>
      </c>
      <c r="O42" s="5" t="s">
        <v>496</v>
      </c>
      <c r="P42" s="5" t="s">
        <v>502</v>
      </c>
      <c r="Q42" s="5" t="s">
        <v>504</v>
      </c>
      <c r="R42" s="5"/>
      <c r="S42" s="5"/>
      <c r="T42" s="10">
        <f t="shared" ca="1" si="4"/>
        <v>46059</v>
      </c>
      <c r="U42" s="5"/>
    </row>
    <row r="43" spans="1:21" ht="135" x14ac:dyDescent="0.25">
      <c r="A43" s="5" t="s">
        <v>498</v>
      </c>
      <c r="B43" s="5" t="s">
        <v>483</v>
      </c>
      <c r="C43" s="5" t="s">
        <v>231</v>
      </c>
      <c r="D43" s="5" t="str">
        <f>IF($C43="","",INDEX(PLAN_DESARROLLO!$B:$B,MATCH($C43,PLAN_DESARROLLO!$A:$A,0)))</f>
        <v>2024257770017</v>
      </c>
      <c r="E43" s="5" t="str">
        <f>IF($C43="","",INDEX(PLAN_DESARROLLO!$C:$C,MATCH($C43,PLAN_DESARROLLO!$A:$A,0)))</f>
        <v>POR EL SUPATÁ SOÑADO AVANZAMOS JUNTOS EN LA LÍNEA ESTRATÉGICA SOCIAL</v>
      </c>
      <c r="F43" s="5" t="str">
        <f>IF($C43="","",INDEX(PLAN_DESARROLLO!$D:$D,MATCH($C43,PLAN_DESARROLLO!$A:$A,0)))</f>
        <v>A.P.S.B</v>
      </c>
      <c r="G43" s="5" t="str">
        <f>IF($C43="","",INDEX(PLAN_DESARROLLO!$E:$E,MATCH($C43,PLAN_DESARROLLO!$A:$A,0)))</f>
        <v>Realizar anulmente el fortalecimiento para el reporte de la informacion de las entidades de control</v>
      </c>
      <c r="H43" s="12">
        <v>1</v>
      </c>
      <c r="I43" s="12">
        <v>1</v>
      </c>
      <c r="J43" s="6">
        <f t="shared" si="2"/>
        <v>1</v>
      </c>
      <c r="K43" s="8">
        <v>25080000</v>
      </c>
      <c r="L43" s="8">
        <v>25080000</v>
      </c>
      <c r="M43" s="6">
        <f t="shared" si="3"/>
        <v>1</v>
      </c>
      <c r="N43" s="5" t="s">
        <v>572</v>
      </c>
      <c r="O43" s="5" t="s">
        <v>496</v>
      </c>
      <c r="P43" s="5" t="s">
        <v>502</v>
      </c>
      <c r="Q43" s="5" t="s">
        <v>504</v>
      </c>
      <c r="R43" s="5"/>
      <c r="S43" s="5"/>
      <c r="T43" s="10">
        <f t="shared" ca="1" si="4"/>
        <v>46059</v>
      </c>
      <c r="U43" s="5"/>
    </row>
    <row r="44" spans="1:21" ht="30" x14ac:dyDescent="0.25">
      <c r="A44" s="5" t="s">
        <v>494</v>
      </c>
      <c r="B44" s="5" t="s">
        <v>483</v>
      </c>
      <c r="C44" s="5" t="s">
        <v>233</v>
      </c>
      <c r="D44" s="5" t="str">
        <f>IF($C44="","",INDEX(PLAN_DESARROLLO!$B:$B,MATCH($C44,PLAN_DESARROLLO!$A:$A,0)))</f>
        <v>2024257770017</v>
      </c>
      <c r="E44" s="5" t="str">
        <f>IF($C44="","",INDEX(PLAN_DESARROLLO!$C:$C,MATCH($C44,PLAN_DESARROLLO!$A:$A,0)))</f>
        <v>POR EL SUPATÁ SOÑADO AVANZAMOS JUNTOS EN LA LÍNEA ESTRATÉGICA SOCIAL</v>
      </c>
      <c r="F44" s="5" t="str">
        <f>IF($C44="","",INDEX(PLAN_DESARROLLO!$D:$D,MATCH($C44,PLAN_DESARROLLO!$A:$A,0)))</f>
        <v>A.P.S.B</v>
      </c>
      <c r="G44" s="5" t="str">
        <f>IF($C44="","",INDEX(PLAN_DESARROLLO!$E:$E,MATCH($C44,PLAN_DESARROLLO!$A:$A,0)))</f>
        <v xml:space="preserve">Actualizar el Plan de Saneamiento y Manejo de Vertimientos (PSMV) </v>
      </c>
      <c r="H44" s="12">
        <v>1</v>
      </c>
      <c r="I44" s="12">
        <v>0</v>
      </c>
      <c r="J44" s="6">
        <f t="shared" si="2"/>
        <v>0</v>
      </c>
      <c r="K44" s="8">
        <v>0</v>
      </c>
      <c r="L44" s="8">
        <v>0</v>
      </c>
      <c r="M44" s="6">
        <f t="shared" si="3"/>
        <v>0</v>
      </c>
      <c r="N44" s="5"/>
      <c r="O44" s="5"/>
      <c r="P44" s="5"/>
      <c r="Q44" s="5"/>
      <c r="R44" s="5"/>
      <c r="S44" s="5"/>
      <c r="T44" s="10">
        <f t="shared" ca="1" si="4"/>
        <v>46059</v>
      </c>
      <c r="U44" s="5"/>
    </row>
    <row r="45" spans="1:21" ht="45" x14ac:dyDescent="0.25">
      <c r="A45" s="5" t="s">
        <v>498</v>
      </c>
      <c r="B45" s="5" t="s">
        <v>483</v>
      </c>
      <c r="C45" s="5" t="s">
        <v>233</v>
      </c>
      <c r="D45" s="5" t="str">
        <f>IF($C45="","",INDEX(PLAN_DESARROLLO!$B:$B,MATCH($C45,PLAN_DESARROLLO!$A:$A,0)))</f>
        <v>2024257770017</v>
      </c>
      <c r="E45" s="5" t="str">
        <f>IF($C45="","",INDEX(PLAN_DESARROLLO!$C:$C,MATCH($C45,PLAN_DESARROLLO!$A:$A,0)))</f>
        <v>POR EL SUPATÁ SOÑADO AVANZAMOS JUNTOS EN LA LÍNEA ESTRATÉGICA SOCIAL</v>
      </c>
      <c r="F45" s="5" t="str">
        <f>IF($C45="","",INDEX(PLAN_DESARROLLO!$D:$D,MATCH($C45,PLAN_DESARROLLO!$A:$A,0)))</f>
        <v>A.P.S.B</v>
      </c>
      <c r="G45" s="5" t="str">
        <f>IF($C45="","",INDEX(PLAN_DESARROLLO!$E:$E,MATCH($C45,PLAN_DESARROLLO!$A:$A,0)))</f>
        <v xml:space="preserve">Actualizar el Plan de Saneamiento y Manejo de Vertimientos (PSMV) </v>
      </c>
      <c r="H45" s="12">
        <v>1</v>
      </c>
      <c r="I45" s="12">
        <v>2</v>
      </c>
      <c r="J45" s="6">
        <f t="shared" si="2"/>
        <v>2</v>
      </c>
      <c r="K45" s="8">
        <v>0</v>
      </c>
      <c r="L45" s="8">
        <v>0</v>
      </c>
      <c r="M45" s="6">
        <f t="shared" si="3"/>
        <v>0</v>
      </c>
      <c r="N45" s="5" t="s">
        <v>579</v>
      </c>
      <c r="O45" s="5" t="s">
        <v>576</v>
      </c>
      <c r="P45" s="5" t="s">
        <v>502</v>
      </c>
      <c r="Q45" s="5" t="s">
        <v>504</v>
      </c>
      <c r="R45" s="5"/>
      <c r="S45" s="5"/>
      <c r="T45" s="10">
        <f t="shared" ca="1" si="4"/>
        <v>46059</v>
      </c>
      <c r="U45" s="5"/>
    </row>
    <row r="46" spans="1:21" ht="30" x14ac:dyDescent="0.25">
      <c r="A46" s="5" t="s">
        <v>494</v>
      </c>
      <c r="B46" s="5" t="s">
        <v>483</v>
      </c>
      <c r="C46" s="5" t="s">
        <v>235</v>
      </c>
      <c r="D46" s="5" t="str">
        <f>IF($C46="","",INDEX(PLAN_DESARROLLO!$B:$B,MATCH($C46,PLAN_DESARROLLO!$A:$A,0)))</f>
        <v>2024257770017</v>
      </c>
      <c r="E46" s="5" t="str">
        <f>IF($C46="","",INDEX(PLAN_DESARROLLO!$C:$C,MATCH($C46,PLAN_DESARROLLO!$A:$A,0)))</f>
        <v>POR EL SUPATÁ SOÑADO AVANZAMOS JUNTOS EN LA LÍNEA ESTRATÉGICA SOCIAL</v>
      </c>
      <c r="F46" s="5" t="str">
        <f>IF($C46="","",INDEX(PLAN_DESARROLLO!$D:$D,MATCH($C46,PLAN_DESARROLLO!$A:$A,0)))</f>
        <v>A.P.S.B</v>
      </c>
      <c r="G46" s="5" t="str">
        <f>IF($C46="","",INDEX(PLAN_DESARROLLO!$E:$E,MATCH($C46,PLAN_DESARROLLO!$A:$A,0)))</f>
        <v>gestionar la ejecución el Plan Maestro de Acueducto y Alcantarillado</v>
      </c>
      <c r="H46" s="12">
        <v>0</v>
      </c>
      <c r="I46" s="12">
        <v>0</v>
      </c>
      <c r="J46" s="6">
        <f t="shared" si="2"/>
        <v>0</v>
      </c>
      <c r="K46" s="8">
        <v>0</v>
      </c>
      <c r="L46" s="8">
        <v>0</v>
      </c>
      <c r="M46" s="6">
        <f t="shared" si="3"/>
        <v>0</v>
      </c>
      <c r="N46" s="5"/>
      <c r="O46" s="5"/>
      <c r="P46" s="5"/>
      <c r="Q46" s="5"/>
      <c r="R46" s="5"/>
      <c r="S46" s="5"/>
      <c r="T46" s="10">
        <f t="shared" ca="1" si="4"/>
        <v>46059</v>
      </c>
      <c r="U46" s="5"/>
    </row>
    <row r="47" spans="1:21" ht="75" x14ac:dyDescent="0.25">
      <c r="A47" s="5" t="s">
        <v>498</v>
      </c>
      <c r="B47" s="5" t="s">
        <v>483</v>
      </c>
      <c r="C47" s="5" t="s">
        <v>235</v>
      </c>
      <c r="D47" s="5" t="str">
        <f>IF($C47="","",INDEX(PLAN_DESARROLLO!$B:$B,MATCH($C47,PLAN_DESARROLLO!$A:$A,0)))</f>
        <v>2024257770017</v>
      </c>
      <c r="E47" s="5" t="str">
        <f>IF($C47="","",INDEX(PLAN_DESARROLLO!$C:$C,MATCH($C47,PLAN_DESARROLLO!$A:$A,0)))</f>
        <v>POR EL SUPATÁ SOÑADO AVANZAMOS JUNTOS EN LA LÍNEA ESTRATÉGICA SOCIAL</v>
      </c>
      <c r="F47" s="5" t="str">
        <f>IF($C47="","",INDEX(PLAN_DESARROLLO!$D:$D,MATCH($C47,PLAN_DESARROLLO!$A:$A,0)))</f>
        <v>A.P.S.B</v>
      </c>
      <c r="G47" s="5" t="str">
        <f>IF($C47="","",INDEX(PLAN_DESARROLLO!$E:$E,MATCH($C47,PLAN_DESARROLLO!$A:$A,0)))</f>
        <v>gestionar la ejecución el Plan Maestro de Acueducto y Alcantarillado</v>
      </c>
      <c r="H47" s="12">
        <v>10</v>
      </c>
      <c r="I47" s="12">
        <v>0</v>
      </c>
      <c r="J47" s="6">
        <f t="shared" si="2"/>
        <v>0</v>
      </c>
      <c r="K47" s="8">
        <v>0</v>
      </c>
      <c r="L47" s="8">
        <v>0</v>
      </c>
      <c r="M47" s="6">
        <f t="shared" si="3"/>
        <v>0</v>
      </c>
      <c r="N47" s="5" t="s">
        <v>585</v>
      </c>
      <c r="O47" s="5" t="s">
        <v>586</v>
      </c>
      <c r="P47" s="5"/>
      <c r="Q47" s="5"/>
      <c r="R47" s="5"/>
      <c r="S47" s="5"/>
      <c r="T47" s="10">
        <f t="shared" ca="1" si="4"/>
        <v>46059</v>
      </c>
      <c r="U47" s="5"/>
    </row>
    <row r="48" spans="1:21" ht="30" x14ac:dyDescent="0.25">
      <c r="A48" s="5" t="s">
        <v>494</v>
      </c>
      <c r="B48" s="5" t="s">
        <v>483</v>
      </c>
      <c r="C48" s="5" t="s">
        <v>237</v>
      </c>
      <c r="D48" s="5" t="str">
        <f>IF($C48="","",INDEX(PLAN_DESARROLLO!$B:$B,MATCH($C48,PLAN_DESARROLLO!$A:$A,0)))</f>
        <v>2024257770017</v>
      </c>
      <c r="E48" s="5" t="str">
        <f>IF($C48="","",INDEX(PLAN_DESARROLLO!$C:$C,MATCH($C48,PLAN_DESARROLLO!$A:$A,0)))</f>
        <v>POR EL SUPATÁ SOÑADO AVANZAMOS JUNTOS EN LA LÍNEA ESTRATÉGICA SOCIAL</v>
      </c>
      <c r="F48" s="5" t="str">
        <f>IF($C48="","",INDEX(PLAN_DESARROLLO!$D:$D,MATCH($C48,PLAN_DESARROLLO!$A:$A,0)))</f>
        <v>A.P.S.B</v>
      </c>
      <c r="G48" s="5" t="str">
        <f>IF($C48="","",INDEX(PLAN_DESARROLLO!$E:$E,MATCH($C48,PLAN_DESARROLLO!$A:$A,0)))</f>
        <v>Otorgar  anualmente subsidios a los usuarios del servicio de alcantarillado de los estratos 1, 2 y 3 del área urbana,en el cuatrienio</v>
      </c>
      <c r="H48" s="12">
        <v>1</v>
      </c>
      <c r="I48" s="12">
        <v>1</v>
      </c>
      <c r="J48" s="6">
        <f t="shared" si="2"/>
        <v>1</v>
      </c>
      <c r="K48" s="8">
        <v>11083682</v>
      </c>
      <c r="L48" s="8">
        <v>11083682</v>
      </c>
      <c r="M48" s="6">
        <f t="shared" si="3"/>
        <v>1</v>
      </c>
      <c r="N48" s="5" t="s">
        <v>566</v>
      </c>
      <c r="O48" s="5" t="s">
        <v>564</v>
      </c>
      <c r="P48" s="5" t="s">
        <v>502</v>
      </c>
      <c r="Q48" s="5" t="s">
        <v>565</v>
      </c>
      <c r="R48" s="5"/>
      <c r="S48" s="5"/>
      <c r="T48" s="10">
        <f t="shared" ca="1" si="4"/>
        <v>46059</v>
      </c>
      <c r="U48" s="5"/>
    </row>
    <row r="49" spans="1:21" ht="30" x14ac:dyDescent="0.25">
      <c r="A49" s="5" t="s">
        <v>498</v>
      </c>
      <c r="B49" s="5" t="s">
        <v>483</v>
      </c>
      <c r="C49" s="5" t="s">
        <v>237</v>
      </c>
      <c r="D49" s="5" t="str">
        <f>IF($C49="","",INDEX(PLAN_DESARROLLO!$B:$B,MATCH($C49,PLAN_DESARROLLO!$A:$A,0)))</f>
        <v>2024257770017</v>
      </c>
      <c r="E49" s="5" t="str">
        <f>IF($C49="","",INDEX(PLAN_DESARROLLO!$C:$C,MATCH($C49,PLAN_DESARROLLO!$A:$A,0)))</f>
        <v>POR EL SUPATÁ SOÑADO AVANZAMOS JUNTOS EN LA LÍNEA ESTRATÉGICA SOCIAL</v>
      </c>
      <c r="F49" s="5" t="str">
        <f>IF($C49="","",INDEX(PLAN_DESARROLLO!$D:$D,MATCH($C49,PLAN_DESARROLLO!$A:$A,0)))</f>
        <v>A.P.S.B</v>
      </c>
      <c r="G49" s="5" t="str">
        <f>IF($C49="","",INDEX(PLAN_DESARROLLO!$E:$E,MATCH($C49,PLAN_DESARROLLO!$A:$A,0)))</f>
        <v>Otorgar  anualmente subsidios a los usuarios del servicio de alcantarillado de los estratos 1, 2 y 3 del área urbana,en el cuatrienio</v>
      </c>
      <c r="H49" s="12">
        <v>1</v>
      </c>
      <c r="I49" s="12">
        <v>1</v>
      </c>
      <c r="J49" s="6">
        <f t="shared" si="2"/>
        <v>1</v>
      </c>
      <c r="K49" s="8">
        <v>12346758</v>
      </c>
      <c r="L49" s="8">
        <v>12346758</v>
      </c>
      <c r="M49" s="6">
        <f t="shared" si="3"/>
        <v>1</v>
      </c>
      <c r="N49" s="5" t="s">
        <v>566</v>
      </c>
      <c r="O49" s="5" t="s">
        <v>564</v>
      </c>
      <c r="P49" s="5" t="s">
        <v>502</v>
      </c>
      <c r="Q49" s="5" t="s">
        <v>565</v>
      </c>
      <c r="R49" s="5"/>
      <c r="S49" s="5"/>
      <c r="T49" s="10">
        <f t="shared" ca="1" si="4"/>
        <v>46059</v>
      </c>
      <c r="U49" s="5"/>
    </row>
    <row r="50" spans="1:21" ht="30" x14ac:dyDescent="0.25">
      <c r="A50" s="5" t="s">
        <v>494</v>
      </c>
      <c r="B50" s="5" t="s">
        <v>483</v>
      </c>
      <c r="C50" s="5" t="s">
        <v>239</v>
      </c>
      <c r="D50" s="5" t="str">
        <f>IF($C50="","",INDEX(PLAN_DESARROLLO!$B:$B,MATCH($C50,PLAN_DESARROLLO!$A:$A,0)))</f>
        <v>2024257770017</v>
      </c>
      <c r="E50" s="5" t="str">
        <f>IF($C50="","",INDEX(PLAN_DESARROLLO!$C:$C,MATCH($C50,PLAN_DESARROLLO!$A:$A,0)))</f>
        <v>POR EL SUPATÁ SOÑADO AVANZAMOS JUNTOS EN LA LÍNEA ESTRATÉGICA SOCIAL</v>
      </c>
      <c r="F50" s="5" t="str">
        <f>IF($C50="","",INDEX(PLAN_DESARROLLO!$D:$D,MATCH($C50,PLAN_DESARROLLO!$A:$A,0)))</f>
        <v>A.P.S.B</v>
      </c>
      <c r="G50" s="5" t="str">
        <f>IF($C50="","",INDEX(PLAN_DESARROLLO!$E:$E,MATCH($C50,PLAN_DESARROLLO!$A:$A,0)))</f>
        <v>Mejoramiento de la planta de tratamiento de aguas residuales -PTAR- del Municipio</v>
      </c>
      <c r="H50" s="12">
        <v>0</v>
      </c>
      <c r="I50" s="12">
        <v>0</v>
      </c>
      <c r="J50" s="6">
        <f t="shared" si="2"/>
        <v>0</v>
      </c>
      <c r="K50" s="8">
        <v>0</v>
      </c>
      <c r="L50" s="8">
        <v>0</v>
      </c>
      <c r="M50" s="6">
        <f t="shared" si="3"/>
        <v>0</v>
      </c>
      <c r="N50" s="5"/>
      <c r="O50" s="5"/>
      <c r="P50" s="5"/>
      <c r="Q50" s="5"/>
      <c r="R50" s="5"/>
      <c r="S50" s="5"/>
      <c r="T50" s="10">
        <f t="shared" ca="1" si="4"/>
        <v>46059</v>
      </c>
      <c r="U50" s="5"/>
    </row>
    <row r="51" spans="1:21" ht="30" x14ac:dyDescent="0.25">
      <c r="A51" s="5" t="s">
        <v>498</v>
      </c>
      <c r="B51" s="5" t="s">
        <v>483</v>
      </c>
      <c r="C51" s="5" t="s">
        <v>239</v>
      </c>
      <c r="D51" s="5" t="str">
        <f>IF($C51="","",INDEX(PLAN_DESARROLLO!$B:$B,MATCH($C51,PLAN_DESARROLLO!$A:$A,0)))</f>
        <v>2024257770017</v>
      </c>
      <c r="E51" s="5" t="str">
        <f>IF($C51="","",INDEX(PLAN_DESARROLLO!$C:$C,MATCH($C51,PLAN_DESARROLLO!$A:$A,0)))</f>
        <v>POR EL SUPATÁ SOÑADO AVANZAMOS JUNTOS EN LA LÍNEA ESTRATÉGICA SOCIAL</v>
      </c>
      <c r="F51" s="5" t="str">
        <f>IF($C51="","",INDEX(PLAN_DESARROLLO!$D:$D,MATCH($C51,PLAN_DESARROLLO!$A:$A,0)))</f>
        <v>A.P.S.B</v>
      </c>
      <c r="G51" s="5" t="str">
        <f>IF($C51="","",INDEX(PLAN_DESARROLLO!$E:$E,MATCH($C51,PLAN_DESARROLLO!$A:$A,0)))</f>
        <v>Mejoramiento de la planta de tratamiento de aguas residuales -PTAR- del Municipio</v>
      </c>
      <c r="H51" s="12">
        <v>0</v>
      </c>
      <c r="I51" s="12">
        <v>0</v>
      </c>
      <c r="J51" s="6">
        <f t="shared" si="2"/>
        <v>0</v>
      </c>
      <c r="K51" s="8">
        <v>0</v>
      </c>
      <c r="L51" s="8">
        <v>0</v>
      </c>
      <c r="M51" s="6">
        <f t="shared" si="3"/>
        <v>0</v>
      </c>
      <c r="N51" s="5"/>
      <c r="O51" s="5"/>
      <c r="P51" s="5"/>
      <c r="Q51" s="5"/>
      <c r="R51" s="5"/>
      <c r="S51" s="5"/>
      <c r="T51" s="10">
        <f t="shared" ca="1" si="4"/>
        <v>46059</v>
      </c>
      <c r="U51" s="5"/>
    </row>
    <row r="52" spans="1:21" ht="30" x14ac:dyDescent="0.25">
      <c r="A52" s="5" t="s">
        <v>494</v>
      </c>
      <c r="B52" s="5" t="s">
        <v>483</v>
      </c>
      <c r="C52" s="5" t="s">
        <v>241</v>
      </c>
      <c r="D52" s="5" t="str">
        <f>IF($C52="","",INDEX(PLAN_DESARROLLO!$B:$B,MATCH($C52,PLAN_DESARROLLO!$A:$A,0)))</f>
        <v>2024257770017</v>
      </c>
      <c r="E52" s="5" t="str">
        <f>IF($C52="","",INDEX(PLAN_DESARROLLO!$C:$C,MATCH($C52,PLAN_DESARROLLO!$A:$A,0)))</f>
        <v>POR EL SUPATÁ SOÑADO AVANZAMOS JUNTOS EN LA LÍNEA ESTRATÉGICA SOCIAL</v>
      </c>
      <c r="F52" s="5" t="str">
        <f>IF($C52="","",INDEX(PLAN_DESARROLLO!$D:$D,MATCH($C52,PLAN_DESARROLLO!$A:$A,0)))</f>
        <v>A.P.S.B</v>
      </c>
      <c r="G52" s="5" t="str">
        <f>IF($C52="","",INDEX(PLAN_DESARROLLO!$E:$E,MATCH($C52,PLAN_DESARROLLO!$A:$A,0)))</f>
        <v xml:space="preserve">Realizar mejoramiento al alcantarillado sanitario y pluvial </v>
      </c>
      <c r="H52" s="12">
        <v>0</v>
      </c>
      <c r="I52" s="12">
        <v>0</v>
      </c>
      <c r="J52" s="6">
        <f t="shared" si="2"/>
        <v>0</v>
      </c>
      <c r="K52" s="8">
        <v>0</v>
      </c>
      <c r="L52" s="8">
        <v>0</v>
      </c>
      <c r="M52" s="6">
        <f t="shared" si="3"/>
        <v>0</v>
      </c>
      <c r="N52" s="5"/>
      <c r="O52" s="5"/>
      <c r="P52" s="5"/>
      <c r="Q52" s="5"/>
      <c r="R52" s="5"/>
      <c r="S52" s="5"/>
      <c r="T52" s="10">
        <f t="shared" ca="1" si="4"/>
        <v>46059</v>
      </c>
      <c r="U52" s="5"/>
    </row>
    <row r="53" spans="1:21" ht="60" x14ac:dyDescent="0.25">
      <c r="A53" s="5" t="s">
        <v>498</v>
      </c>
      <c r="B53" s="5" t="s">
        <v>483</v>
      </c>
      <c r="C53" s="5" t="s">
        <v>241</v>
      </c>
      <c r="D53" s="5" t="str">
        <f>IF($C53="","",INDEX(PLAN_DESARROLLO!$B:$B,MATCH($C53,PLAN_DESARROLLO!$A:$A,0)))</f>
        <v>2024257770017</v>
      </c>
      <c r="E53" s="5" t="str">
        <f>IF($C53="","",INDEX(PLAN_DESARROLLO!$C:$C,MATCH($C53,PLAN_DESARROLLO!$A:$A,0)))</f>
        <v>POR EL SUPATÁ SOÑADO AVANZAMOS JUNTOS EN LA LÍNEA ESTRATÉGICA SOCIAL</v>
      </c>
      <c r="F53" s="5" t="str">
        <f>IF($C53="","",INDEX(PLAN_DESARROLLO!$D:$D,MATCH($C53,PLAN_DESARROLLO!$A:$A,0)))</f>
        <v>A.P.S.B</v>
      </c>
      <c r="G53" s="5" t="str">
        <f>IF($C53="","",INDEX(PLAN_DESARROLLO!$E:$E,MATCH($C53,PLAN_DESARROLLO!$A:$A,0)))</f>
        <v xml:space="preserve">Realizar mejoramiento al alcantarillado sanitario y pluvial </v>
      </c>
      <c r="H53" s="12">
        <v>1</v>
      </c>
      <c r="I53" s="12">
        <v>2</v>
      </c>
      <c r="J53" s="6">
        <f t="shared" si="2"/>
        <v>2</v>
      </c>
      <c r="K53" s="8">
        <f>36438601.87+39778078.8</f>
        <v>76216680.669999987</v>
      </c>
      <c r="L53" s="8">
        <f>36438601.87+39778078.8</f>
        <v>76216680.669999987</v>
      </c>
      <c r="M53" s="6">
        <f t="shared" si="3"/>
        <v>1</v>
      </c>
      <c r="N53" s="5" t="s">
        <v>582</v>
      </c>
      <c r="O53" s="5" t="s">
        <v>564</v>
      </c>
      <c r="P53" s="5" t="s">
        <v>502</v>
      </c>
      <c r="Q53" s="5" t="s">
        <v>504</v>
      </c>
      <c r="R53" s="5"/>
      <c r="S53" s="5"/>
      <c r="T53" s="10">
        <f t="shared" ca="1" si="4"/>
        <v>46059</v>
      </c>
      <c r="U53" s="5"/>
    </row>
    <row r="54" spans="1:21" ht="60" x14ac:dyDescent="0.25">
      <c r="A54" s="5" t="s">
        <v>494</v>
      </c>
      <c r="B54" s="5" t="s">
        <v>483</v>
      </c>
      <c r="C54" s="5" t="s">
        <v>243</v>
      </c>
      <c r="D54" s="5" t="str">
        <f>IF($C54="","",INDEX(PLAN_DESARROLLO!$B:$B,MATCH($C54,PLAN_DESARROLLO!$A:$A,0)))</f>
        <v>2024257770017</v>
      </c>
      <c r="E54" s="5" t="str">
        <f>IF($C54="","",INDEX(PLAN_DESARROLLO!$C:$C,MATCH($C54,PLAN_DESARROLLO!$A:$A,0)))</f>
        <v>POR EL SUPATÁ SOÑADO AVANZAMOS JUNTOS EN LA LÍNEA ESTRATÉGICA SOCIAL</v>
      </c>
      <c r="F54" s="5" t="str">
        <f>IF($C54="","",INDEX(PLAN_DESARROLLO!$D:$D,MATCH($C54,PLAN_DESARROLLO!$A:$A,0)))</f>
        <v>A.P.S.B</v>
      </c>
      <c r="G54" s="5" t="str">
        <f>IF($C54="","",INDEX(PLAN_DESARROLLO!$E:$E,MATCH($C54,PLAN_DESARROLLO!$A:$A,0)))</f>
        <v>Implementar el Plan de gestión integral de residuos sólidos (PGIRS) del municipio en el marco de la Resolución No. 754 de 2014 , la Política Nacional para la Gestión Integral de Residuos Sólidos – CONPES 3874 de 2016, y la Resolución 2184 de 2019, en el cuatrenio</v>
      </c>
      <c r="H54" s="12">
        <v>1</v>
      </c>
      <c r="I54" s="12">
        <v>1</v>
      </c>
      <c r="J54" s="6">
        <f t="shared" si="2"/>
        <v>1</v>
      </c>
      <c r="K54" s="8">
        <v>55984572</v>
      </c>
      <c r="L54" s="8">
        <v>55984572</v>
      </c>
      <c r="M54" s="6">
        <f t="shared" si="3"/>
        <v>1</v>
      </c>
      <c r="N54" s="5" t="s">
        <v>580</v>
      </c>
      <c r="O54" s="5" t="s">
        <v>564</v>
      </c>
      <c r="P54" s="5" t="s">
        <v>502</v>
      </c>
      <c r="Q54" s="5" t="s">
        <v>504</v>
      </c>
      <c r="R54" s="5"/>
      <c r="S54" s="5"/>
      <c r="T54" s="10">
        <f t="shared" ca="1" si="4"/>
        <v>46059</v>
      </c>
      <c r="U54" s="5"/>
    </row>
    <row r="55" spans="1:21" ht="60" x14ac:dyDescent="0.25">
      <c r="A55" s="5" t="s">
        <v>498</v>
      </c>
      <c r="B55" s="5" t="s">
        <v>483</v>
      </c>
      <c r="C55" s="5" t="s">
        <v>243</v>
      </c>
      <c r="D55" s="5" t="str">
        <f>IF($C55="","",INDEX(PLAN_DESARROLLO!$B:$B,MATCH($C55,PLAN_DESARROLLO!$A:$A,0)))</f>
        <v>2024257770017</v>
      </c>
      <c r="E55" s="5" t="str">
        <f>IF($C55="","",INDEX(PLAN_DESARROLLO!$C:$C,MATCH($C55,PLAN_DESARROLLO!$A:$A,0)))</f>
        <v>POR EL SUPATÁ SOÑADO AVANZAMOS JUNTOS EN LA LÍNEA ESTRATÉGICA SOCIAL</v>
      </c>
      <c r="F55" s="5" t="str">
        <f>IF($C55="","",INDEX(PLAN_DESARROLLO!$D:$D,MATCH($C55,PLAN_DESARROLLO!$A:$A,0)))</f>
        <v>A.P.S.B</v>
      </c>
      <c r="G55" s="5" t="str">
        <f>IF($C55="","",INDEX(PLAN_DESARROLLO!$E:$E,MATCH($C55,PLAN_DESARROLLO!$A:$A,0)))</f>
        <v>Implementar el Plan de gestión integral de residuos sólidos (PGIRS) del municipio en el marco de la Resolución No. 754 de 2014 , la Política Nacional para la Gestión Integral de Residuos Sólidos – CONPES 3874 de 2016, y la Resolución 2184 de 2019, en el cuatrenio</v>
      </c>
      <c r="H55" s="12">
        <v>1</v>
      </c>
      <c r="I55" s="12">
        <v>1</v>
      </c>
      <c r="J55" s="6">
        <f t="shared" si="2"/>
        <v>1</v>
      </c>
      <c r="K55" s="8"/>
      <c r="L55" s="8"/>
      <c r="M55" s="6" t="str">
        <f t="shared" si="3"/>
        <v/>
      </c>
      <c r="N55" s="5" t="s">
        <v>581</v>
      </c>
      <c r="O55" s="5" t="s">
        <v>509</v>
      </c>
      <c r="P55" s="5" t="s">
        <v>502</v>
      </c>
      <c r="Q55" s="5" t="s">
        <v>504</v>
      </c>
      <c r="R55" s="5"/>
      <c r="S55" s="5"/>
      <c r="T55" s="10">
        <f t="shared" ca="1" si="4"/>
        <v>46059</v>
      </c>
      <c r="U55" s="5"/>
    </row>
    <row r="56" spans="1:21" ht="30" x14ac:dyDescent="0.25">
      <c r="A56" s="5" t="s">
        <v>494</v>
      </c>
      <c r="B56" s="5" t="s">
        <v>483</v>
      </c>
      <c r="C56" s="5" t="s">
        <v>245</v>
      </c>
      <c r="D56" s="5" t="str">
        <f>IF($C56="","",INDEX(PLAN_DESARROLLO!$B:$B,MATCH($C56,PLAN_DESARROLLO!$A:$A,0)))</f>
        <v>2024257770017</v>
      </c>
      <c r="E56" s="5" t="str">
        <f>IF($C56="","",INDEX(PLAN_DESARROLLO!$C:$C,MATCH($C56,PLAN_DESARROLLO!$A:$A,0)))</f>
        <v>POR EL SUPATÁ SOÑADO AVANZAMOS JUNTOS EN LA LÍNEA ESTRATÉGICA SOCIAL</v>
      </c>
      <c r="F56" s="5" t="str">
        <f>IF($C56="","",INDEX(PLAN_DESARROLLO!$D:$D,MATCH($C56,PLAN_DESARROLLO!$A:$A,0)))</f>
        <v>A.P.S.B</v>
      </c>
      <c r="G56" s="5" t="str">
        <f>IF($C56="","",INDEX(PLAN_DESARROLLO!$E:$E,MATCH($C56,PLAN_DESARROLLO!$A:$A,0)))</f>
        <v>Otorgar  anualmente subsidios a los usuarios del servicio de  aseo  de los estratos 1, 2 y 3 del área urbana,en el cuatrienio</v>
      </c>
      <c r="H56" s="12">
        <v>1</v>
      </c>
      <c r="I56" s="12">
        <v>1</v>
      </c>
      <c r="J56" s="6">
        <f t="shared" si="2"/>
        <v>1</v>
      </c>
      <c r="K56" s="8">
        <v>11510599</v>
      </c>
      <c r="L56" s="8">
        <v>11510599</v>
      </c>
      <c r="M56" s="6">
        <f t="shared" si="3"/>
        <v>1</v>
      </c>
      <c r="N56" s="5" t="s">
        <v>568</v>
      </c>
      <c r="O56" s="5" t="s">
        <v>564</v>
      </c>
      <c r="P56" s="5" t="s">
        <v>502</v>
      </c>
      <c r="Q56" s="5" t="s">
        <v>565</v>
      </c>
      <c r="R56" s="5"/>
      <c r="S56" s="5"/>
      <c r="T56" s="10">
        <f t="shared" ca="1" si="4"/>
        <v>46059</v>
      </c>
      <c r="U56" s="5"/>
    </row>
    <row r="57" spans="1:21" ht="30" x14ac:dyDescent="0.25">
      <c r="A57" s="5" t="s">
        <v>498</v>
      </c>
      <c r="B57" s="5" t="s">
        <v>483</v>
      </c>
      <c r="C57" s="5" t="s">
        <v>245</v>
      </c>
      <c r="D57" s="5" t="str">
        <f>IF($C57="","",INDEX(PLAN_DESARROLLO!$B:$B,MATCH($C57,PLAN_DESARROLLO!$A:$A,0)))</f>
        <v>2024257770017</v>
      </c>
      <c r="E57" s="5" t="str">
        <f>IF($C57="","",INDEX(PLAN_DESARROLLO!$C:$C,MATCH($C57,PLAN_DESARROLLO!$A:$A,0)))</f>
        <v>POR EL SUPATÁ SOÑADO AVANZAMOS JUNTOS EN LA LÍNEA ESTRATÉGICA SOCIAL</v>
      </c>
      <c r="F57" s="5" t="str">
        <f>IF($C57="","",INDEX(PLAN_DESARROLLO!$D:$D,MATCH($C57,PLAN_DESARROLLO!$A:$A,0)))</f>
        <v>A.P.S.B</v>
      </c>
      <c r="G57" s="5" t="str">
        <f>IF($C57="","",INDEX(PLAN_DESARROLLO!$E:$E,MATCH($C57,PLAN_DESARROLLO!$A:$A,0)))</f>
        <v>Otorgar  anualmente subsidios a los usuarios del servicio de  aseo  de los estratos 1, 2 y 3 del área urbana,en el cuatrienio</v>
      </c>
      <c r="H57" s="12">
        <v>1</v>
      </c>
      <c r="I57" s="12">
        <v>1</v>
      </c>
      <c r="J57" s="6">
        <f t="shared" si="2"/>
        <v>1</v>
      </c>
      <c r="K57" s="8">
        <v>12045673</v>
      </c>
      <c r="L57" s="8">
        <v>12045673</v>
      </c>
      <c r="M57" s="6">
        <f t="shared" si="3"/>
        <v>1</v>
      </c>
      <c r="N57" s="5" t="s">
        <v>568</v>
      </c>
      <c r="O57" s="5" t="s">
        <v>564</v>
      </c>
      <c r="P57" s="5" t="s">
        <v>502</v>
      </c>
      <c r="Q57" s="5" t="s">
        <v>565</v>
      </c>
      <c r="R57" s="5"/>
      <c r="S57" s="5"/>
      <c r="T57" s="10">
        <f t="shared" ca="1" si="4"/>
        <v>46059</v>
      </c>
      <c r="U57" s="5"/>
    </row>
    <row r="58" spans="1:21" ht="30" x14ac:dyDescent="0.25">
      <c r="A58" s="5" t="s">
        <v>494</v>
      </c>
      <c r="B58" s="5" t="s">
        <v>483</v>
      </c>
      <c r="C58" s="5" t="s">
        <v>289</v>
      </c>
      <c r="D58" s="5" t="str">
        <f>IF($C58="","",INDEX(PLAN_DESARROLLO!$B:$B,MATCH($C58,PLAN_DESARROLLO!$A:$A,0)))</f>
        <v>2024257770021</v>
      </c>
      <c r="E58" s="5" t="str">
        <f>IF($C58="","",INDEX(PLAN_DESARROLLO!$C:$C,MATCH($C58,PLAN_DESARROLLO!$A:$A,0)))</f>
        <v>POR EL SUPATÁ SOÑADO AVANZAMOS JUNTOS EN LA LÍNEA ESTRATÉGICA ECONÓMICA</v>
      </c>
      <c r="F58" s="5" t="str">
        <f>IF($C58="","",INDEX(PLAN_DESARROLLO!$D:$D,MATCH($C58,PLAN_DESARROLLO!$A:$A,0)))</f>
        <v>TRANSPORTE</v>
      </c>
      <c r="G58" s="5" t="str">
        <f>IF($C58="","",INDEX(PLAN_DESARROLLO!$E:$E,MATCH($C58,PLAN_DESARROLLO!$A:$A,0)))</f>
        <v xml:space="preserve">Adquirir maquinaria amarilla </v>
      </c>
      <c r="H58" s="12">
        <v>1</v>
      </c>
      <c r="I58" s="12">
        <v>0</v>
      </c>
      <c r="J58" s="6">
        <f t="shared" si="2"/>
        <v>0</v>
      </c>
      <c r="K58" s="8">
        <v>0</v>
      </c>
      <c r="L58" s="8">
        <v>0</v>
      </c>
      <c r="M58" s="6">
        <f t="shared" si="3"/>
        <v>0</v>
      </c>
      <c r="N58" s="5" t="s">
        <v>543</v>
      </c>
      <c r="O58" s="5" t="s">
        <v>509</v>
      </c>
      <c r="P58" s="5" t="s">
        <v>495</v>
      </c>
      <c r="Q58" s="5" t="s">
        <v>512</v>
      </c>
      <c r="R58" s="5"/>
      <c r="S58" s="5"/>
      <c r="T58" s="10">
        <f t="shared" ca="1" si="4"/>
        <v>46059</v>
      </c>
      <c r="U58" s="5"/>
    </row>
    <row r="59" spans="1:21" ht="30" x14ac:dyDescent="0.25">
      <c r="A59" s="5" t="s">
        <v>498</v>
      </c>
      <c r="B59" s="5" t="s">
        <v>483</v>
      </c>
      <c r="C59" s="5" t="s">
        <v>289</v>
      </c>
      <c r="D59" s="5" t="str">
        <f>IF($C59="","",INDEX(PLAN_DESARROLLO!$B:$B,MATCH($C59,PLAN_DESARROLLO!$A:$A,0)))</f>
        <v>2024257770021</v>
      </c>
      <c r="E59" s="5" t="str">
        <f>IF($C59="","",INDEX(PLAN_DESARROLLO!$C:$C,MATCH($C59,PLAN_DESARROLLO!$A:$A,0)))</f>
        <v>POR EL SUPATÁ SOÑADO AVANZAMOS JUNTOS EN LA LÍNEA ESTRATÉGICA ECONÓMICA</v>
      </c>
      <c r="F59" s="5" t="str">
        <f>IF($C59="","",INDEX(PLAN_DESARROLLO!$D:$D,MATCH($C59,PLAN_DESARROLLO!$A:$A,0)))</f>
        <v>TRANSPORTE</v>
      </c>
      <c r="G59" s="5" t="str">
        <f>IF($C59="","",INDEX(PLAN_DESARROLLO!$E:$E,MATCH($C59,PLAN_DESARROLLO!$A:$A,0)))</f>
        <v xml:space="preserve">Adquirir maquinaria amarilla </v>
      </c>
      <c r="H59" s="12">
        <v>1</v>
      </c>
      <c r="I59" s="12">
        <v>1</v>
      </c>
      <c r="J59" s="6">
        <f t="shared" si="2"/>
        <v>1</v>
      </c>
      <c r="K59" s="8">
        <v>900000000</v>
      </c>
      <c r="L59" s="8">
        <v>900000000</v>
      </c>
      <c r="M59" s="6">
        <f t="shared" si="3"/>
        <v>1</v>
      </c>
      <c r="N59" s="5" t="s">
        <v>544</v>
      </c>
      <c r="O59" s="5" t="s">
        <v>514</v>
      </c>
      <c r="P59" s="5" t="s">
        <v>502</v>
      </c>
      <c r="Q59" s="5" t="s">
        <v>504</v>
      </c>
      <c r="R59" s="5"/>
      <c r="S59" s="5"/>
      <c r="T59" s="10">
        <f t="shared" ca="1" si="4"/>
        <v>46059</v>
      </c>
      <c r="U59" s="5"/>
    </row>
    <row r="60" spans="1:21" ht="30" x14ac:dyDescent="0.25">
      <c r="A60" s="5" t="s">
        <v>494</v>
      </c>
      <c r="B60" s="5" t="s">
        <v>483</v>
      </c>
      <c r="C60" s="5" t="s">
        <v>291</v>
      </c>
      <c r="D60" s="5" t="str">
        <f>IF($C60="","",INDEX(PLAN_DESARROLLO!$B:$B,MATCH($C60,PLAN_DESARROLLO!$A:$A,0)))</f>
        <v>2024257770021</v>
      </c>
      <c r="E60" s="5" t="str">
        <f>IF($C60="","",INDEX(PLAN_DESARROLLO!$C:$C,MATCH($C60,PLAN_DESARROLLO!$A:$A,0)))</f>
        <v>POR EL SUPATÁ SOÑADO AVANZAMOS JUNTOS EN LA LÍNEA ESTRATÉGICA ECONÓMICA</v>
      </c>
      <c r="F60" s="5" t="str">
        <f>IF($C60="","",INDEX(PLAN_DESARROLLO!$D:$D,MATCH($C60,PLAN_DESARROLLO!$A:$A,0)))</f>
        <v>TRANSPORTE</v>
      </c>
      <c r="G60" s="5" t="str">
        <f>IF($C60="","",INDEX(PLAN_DESARROLLO!$E:$E,MATCH($C60,PLAN_DESARROLLO!$A:$A,0)))</f>
        <v>Realizar 3 mantenimientos a la maquinaria amarilla propiedad del municipio</v>
      </c>
      <c r="H60" s="12">
        <v>3</v>
      </c>
      <c r="I60" s="12">
        <v>3</v>
      </c>
      <c r="J60" s="6">
        <f t="shared" si="2"/>
        <v>1</v>
      </c>
      <c r="K60" s="8">
        <v>100000000</v>
      </c>
      <c r="L60" s="8">
        <v>100000000</v>
      </c>
      <c r="M60" s="6">
        <f t="shared" si="3"/>
        <v>1</v>
      </c>
      <c r="N60" s="5" t="s">
        <v>545</v>
      </c>
      <c r="O60" s="5" t="s">
        <v>500</v>
      </c>
      <c r="P60" s="5" t="s">
        <v>502</v>
      </c>
      <c r="Q60" s="5" t="s">
        <v>504</v>
      </c>
      <c r="R60" s="5"/>
      <c r="S60" s="5"/>
      <c r="T60" s="10">
        <f t="shared" ca="1" si="4"/>
        <v>46059</v>
      </c>
      <c r="U60" s="5"/>
    </row>
    <row r="61" spans="1:21" ht="30" x14ac:dyDescent="0.25">
      <c r="A61" s="5" t="s">
        <v>498</v>
      </c>
      <c r="B61" s="5" t="s">
        <v>483</v>
      </c>
      <c r="C61" s="5" t="s">
        <v>291</v>
      </c>
      <c r="D61" s="5" t="str">
        <f>IF($C61="","",INDEX(PLAN_DESARROLLO!$B:$B,MATCH($C61,PLAN_DESARROLLO!$A:$A,0)))</f>
        <v>2024257770021</v>
      </c>
      <c r="E61" s="5" t="str">
        <f>IF($C61="","",INDEX(PLAN_DESARROLLO!$C:$C,MATCH($C61,PLAN_DESARROLLO!$A:$A,0)))</f>
        <v>POR EL SUPATÁ SOÑADO AVANZAMOS JUNTOS EN LA LÍNEA ESTRATÉGICA ECONÓMICA</v>
      </c>
      <c r="F61" s="5" t="str">
        <f>IF($C61="","",INDEX(PLAN_DESARROLLO!$D:$D,MATCH($C61,PLAN_DESARROLLO!$A:$A,0)))</f>
        <v>TRANSPORTE</v>
      </c>
      <c r="G61" s="5" t="str">
        <f>IF($C61="","",INDEX(PLAN_DESARROLLO!$E:$E,MATCH($C61,PLAN_DESARROLLO!$A:$A,0)))</f>
        <v>Realizar 3 mantenimientos a la maquinaria amarilla propiedad del municipio</v>
      </c>
      <c r="H61" s="12">
        <v>3</v>
      </c>
      <c r="I61" s="12">
        <v>3</v>
      </c>
      <c r="J61" s="6">
        <f t="shared" si="2"/>
        <v>1</v>
      </c>
      <c r="K61" s="8">
        <v>100000000</v>
      </c>
      <c r="L61" s="8">
        <v>100000000</v>
      </c>
      <c r="M61" s="6">
        <f t="shared" si="3"/>
        <v>1</v>
      </c>
      <c r="N61" s="5" t="s">
        <v>545</v>
      </c>
      <c r="O61" s="5" t="s">
        <v>500</v>
      </c>
      <c r="P61" s="5" t="s">
        <v>502</v>
      </c>
      <c r="Q61" s="5" t="s">
        <v>504</v>
      </c>
      <c r="R61" s="5"/>
      <c r="S61" s="5"/>
      <c r="T61" s="10">
        <f t="shared" ca="1" si="4"/>
        <v>46059</v>
      </c>
      <c r="U61" s="5"/>
    </row>
    <row r="62" spans="1:21" ht="30" x14ac:dyDescent="0.25">
      <c r="A62" s="5" t="s">
        <v>494</v>
      </c>
      <c r="B62" s="5" t="s">
        <v>483</v>
      </c>
      <c r="C62" s="5" t="s">
        <v>293</v>
      </c>
      <c r="D62" s="5" t="str">
        <f>IF($C62="","",INDEX(PLAN_DESARROLLO!$B:$B,MATCH($C62,PLAN_DESARROLLO!$A:$A,0)))</f>
        <v>2024257770021</v>
      </c>
      <c r="E62" s="5" t="str">
        <f>IF($C62="","",INDEX(PLAN_DESARROLLO!$C:$C,MATCH($C62,PLAN_DESARROLLO!$A:$A,0)))</f>
        <v>POR EL SUPATÁ SOÑADO AVANZAMOS JUNTOS EN LA LÍNEA ESTRATÉGICA ECONÓMICA</v>
      </c>
      <c r="F62" s="5" t="str">
        <f>IF($C62="","",INDEX(PLAN_DESARROLLO!$D:$D,MATCH($C62,PLAN_DESARROLLO!$A:$A,0)))</f>
        <v>TRANSPORTE</v>
      </c>
      <c r="G62" s="5" t="str">
        <f>IF($C62="","",INDEX(PLAN_DESARROLLO!$E:$E,MATCH($C62,PLAN_DESARROLLO!$A:$A,0)))</f>
        <v>Realizar la apertura de 2 km de vías terciarias dentro del municipio</v>
      </c>
      <c r="H62" s="12">
        <v>2</v>
      </c>
      <c r="I62" s="12">
        <v>2</v>
      </c>
      <c r="J62" s="6">
        <f t="shared" si="2"/>
        <v>1</v>
      </c>
      <c r="K62" s="8">
        <v>0</v>
      </c>
      <c r="L62" s="8">
        <v>0</v>
      </c>
      <c r="M62" s="6">
        <f t="shared" si="3"/>
        <v>0</v>
      </c>
      <c r="N62" s="5" t="s">
        <v>546</v>
      </c>
      <c r="O62" s="5" t="s">
        <v>500</v>
      </c>
      <c r="P62" s="5" t="s">
        <v>502</v>
      </c>
      <c r="Q62" s="5" t="s">
        <v>504</v>
      </c>
      <c r="R62" s="5"/>
      <c r="S62" s="5"/>
      <c r="T62" s="10">
        <f t="shared" ca="1" si="4"/>
        <v>46059</v>
      </c>
      <c r="U62" s="5"/>
    </row>
    <row r="63" spans="1:21" ht="30" x14ac:dyDescent="0.25">
      <c r="A63" s="5" t="s">
        <v>498</v>
      </c>
      <c r="B63" s="5" t="s">
        <v>483</v>
      </c>
      <c r="C63" s="5" t="s">
        <v>293</v>
      </c>
      <c r="D63" s="5" t="str">
        <f>IF($C63="","",INDEX(PLAN_DESARROLLO!$B:$B,MATCH($C63,PLAN_DESARROLLO!$A:$A,0)))</f>
        <v>2024257770021</v>
      </c>
      <c r="E63" s="5" t="str">
        <f>IF($C63="","",INDEX(PLAN_DESARROLLO!$C:$C,MATCH($C63,PLAN_DESARROLLO!$A:$A,0)))</f>
        <v>POR EL SUPATÁ SOÑADO AVANZAMOS JUNTOS EN LA LÍNEA ESTRATÉGICA ECONÓMICA</v>
      </c>
      <c r="F63" s="5" t="str">
        <f>IF($C63="","",INDEX(PLAN_DESARROLLO!$D:$D,MATCH($C63,PLAN_DESARROLLO!$A:$A,0)))</f>
        <v>TRANSPORTE</v>
      </c>
      <c r="G63" s="5" t="str">
        <f>IF($C63="","",INDEX(PLAN_DESARROLLO!$E:$E,MATCH($C63,PLAN_DESARROLLO!$A:$A,0)))</f>
        <v>Realizar la apertura de 2 km de vías terciarias dentro del municipio</v>
      </c>
      <c r="H63" s="12">
        <v>2</v>
      </c>
      <c r="I63" s="12">
        <v>2</v>
      </c>
      <c r="J63" s="6">
        <f t="shared" si="2"/>
        <v>1</v>
      </c>
      <c r="K63" s="8">
        <v>0</v>
      </c>
      <c r="L63" s="8">
        <v>0</v>
      </c>
      <c r="M63" s="6">
        <f t="shared" si="3"/>
        <v>0</v>
      </c>
      <c r="N63" s="5" t="s">
        <v>546</v>
      </c>
      <c r="O63" s="5" t="s">
        <v>500</v>
      </c>
      <c r="P63" s="5" t="s">
        <v>502</v>
      </c>
      <c r="Q63" s="5" t="s">
        <v>504</v>
      </c>
      <c r="R63" s="5"/>
      <c r="S63" s="5"/>
      <c r="T63" s="10">
        <f t="shared" ca="1" si="4"/>
        <v>46059</v>
      </c>
      <c r="U63" s="5"/>
    </row>
    <row r="64" spans="1:21" ht="30" x14ac:dyDescent="0.25">
      <c r="A64" s="5" t="s">
        <v>494</v>
      </c>
      <c r="B64" s="5" t="s">
        <v>483</v>
      </c>
      <c r="C64" s="5" t="s">
        <v>295</v>
      </c>
      <c r="D64" s="5" t="str">
        <f>IF($C64="","",INDEX(PLAN_DESARROLLO!$B:$B,MATCH($C64,PLAN_DESARROLLO!$A:$A,0)))</f>
        <v>2024257770021</v>
      </c>
      <c r="E64" s="5" t="str">
        <f>IF($C64="","",INDEX(PLAN_DESARROLLO!$C:$C,MATCH($C64,PLAN_DESARROLLO!$A:$A,0)))</f>
        <v>POR EL SUPATÁ SOÑADO AVANZAMOS JUNTOS EN LA LÍNEA ESTRATÉGICA ECONÓMICA</v>
      </c>
      <c r="F64" s="5" t="str">
        <f>IF($C64="","",INDEX(PLAN_DESARROLLO!$D:$D,MATCH($C64,PLAN_DESARROLLO!$A:$A,0)))</f>
        <v>TRANSPORTE</v>
      </c>
      <c r="G64" s="5" t="str">
        <f>IF($C64="","",INDEX(PLAN_DESARROLLO!$E:$E,MATCH($C64,PLAN_DESARROLLO!$A:$A,0)))</f>
        <v>Realizar el mantenimiento,  rehabilitación  y adecuación  de 100 ML de vías en la zona urbana del municipio, en el periodo de gobierno</v>
      </c>
      <c r="H64" s="12">
        <v>100</v>
      </c>
      <c r="I64" s="12">
        <v>0</v>
      </c>
      <c r="J64" s="6">
        <f t="shared" si="2"/>
        <v>0</v>
      </c>
      <c r="K64" s="8">
        <v>0</v>
      </c>
      <c r="L64" s="8">
        <v>0</v>
      </c>
      <c r="M64" s="6">
        <f t="shared" si="3"/>
        <v>0</v>
      </c>
      <c r="N64" s="5" t="s">
        <v>548</v>
      </c>
      <c r="O64" s="5" t="s">
        <v>509</v>
      </c>
      <c r="P64" s="5" t="s">
        <v>495</v>
      </c>
      <c r="Q64" s="5" t="s">
        <v>504</v>
      </c>
      <c r="R64" s="5"/>
      <c r="S64" s="5"/>
      <c r="T64" s="10">
        <f t="shared" ca="1" si="4"/>
        <v>46059</v>
      </c>
      <c r="U64" s="5"/>
    </row>
    <row r="65" spans="1:21" ht="30" x14ac:dyDescent="0.25">
      <c r="A65" s="5" t="s">
        <v>498</v>
      </c>
      <c r="B65" s="5" t="s">
        <v>483</v>
      </c>
      <c r="C65" s="5" t="s">
        <v>295</v>
      </c>
      <c r="D65" s="5" t="str">
        <f>IF($C65="","",INDEX(PLAN_DESARROLLO!$B:$B,MATCH($C65,PLAN_DESARROLLO!$A:$A,0)))</f>
        <v>2024257770021</v>
      </c>
      <c r="E65" s="5" t="str">
        <f>IF($C65="","",INDEX(PLAN_DESARROLLO!$C:$C,MATCH($C65,PLAN_DESARROLLO!$A:$A,0)))</f>
        <v>POR EL SUPATÁ SOÑADO AVANZAMOS JUNTOS EN LA LÍNEA ESTRATÉGICA ECONÓMICA</v>
      </c>
      <c r="F65" s="5" t="str">
        <f>IF($C65="","",INDEX(PLAN_DESARROLLO!$D:$D,MATCH($C65,PLAN_DESARROLLO!$A:$A,0)))</f>
        <v>TRANSPORTE</v>
      </c>
      <c r="G65" s="5" t="str">
        <f>IF($C65="","",INDEX(PLAN_DESARROLLO!$E:$E,MATCH($C65,PLAN_DESARROLLO!$A:$A,0)))</f>
        <v>Realizar el mantenimiento,  rehabilitación  y adecuación  de 100 ML de vías en la zona urbana del municipio, en el periodo de gobierno</v>
      </c>
      <c r="H65" s="12">
        <v>100</v>
      </c>
      <c r="I65" s="12">
        <v>600</v>
      </c>
      <c r="J65" s="6">
        <f t="shared" si="2"/>
        <v>6</v>
      </c>
      <c r="K65" s="8">
        <f>1970000000+600000000</f>
        <v>2570000000</v>
      </c>
      <c r="L65" s="8">
        <f>1970000000+600000000</f>
        <v>2570000000</v>
      </c>
      <c r="M65" s="6">
        <f t="shared" si="3"/>
        <v>1</v>
      </c>
      <c r="N65" s="5" t="s">
        <v>547</v>
      </c>
      <c r="O65" s="5" t="s">
        <v>509</v>
      </c>
      <c r="P65" s="5" t="s">
        <v>502</v>
      </c>
      <c r="Q65" s="5" t="s">
        <v>504</v>
      </c>
      <c r="R65" s="5"/>
      <c r="S65" s="5"/>
      <c r="T65" s="10">
        <f t="shared" ca="1" si="4"/>
        <v>46059</v>
      </c>
      <c r="U65" s="5"/>
    </row>
    <row r="66" spans="1:21" ht="30" x14ac:dyDescent="0.25">
      <c r="A66" s="5" t="s">
        <v>494</v>
      </c>
      <c r="B66" s="5" t="s">
        <v>483</v>
      </c>
      <c r="C66" s="5" t="s">
        <v>297</v>
      </c>
      <c r="D66" s="5" t="str">
        <f>IF($C66="","",INDEX(PLAN_DESARROLLO!$B:$B,MATCH($C66,PLAN_DESARROLLO!$A:$A,0)))</f>
        <v>2024257770021</v>
      </c>
      <c r="E66" s="5" t="str">
        <f>IF($C66="","",INDEX(PLAN_DESARROLLO!$C:$C,MATCH($C66,PLAN_DESARROLLO!$A:$A,0)))</f>
        <v>POR EL SUPATÁ SOÑADO AVANZAMOS JUNTOS EN LA LÍNEA ESTRATÉGICA ECONÓMICA</v>
      </c>
      <c r="F66" s="5" t="str">
        <f>IF($C66="","",INDEX(PLAN_DESARROLLO!$D:$D,MATCH($C66,PLAN_DESARROLLO!$A:$A,0)))</f>
        <v>TRANSPORTE</v>
      </c>
      <c r="G66" s="5" t="str">
        <f>IF($C66="","",INDEX(PLAN_DESARROLLO!$E:$E,MATCH($C66,PLAN_DESARROLLO!$A:$A,0)))</f>
        <v>Mejoramiento y mantenimiento 2 puentes vehiculares,  en la zona rural o urbana del municipio</v>
      </c>
      <c r="H66" s="12">
        <v>2</v>
      </c>
      <c r="I66" s="12">
        <v>0</v>
      </c>
      <c r="J66" s="6">
        <f t="shared" si="2"/>
        <v>0</v>
      </c>
      <c r="K66" s="8">
        <v>0</v>
      </c>
      <c r="L66" s="8">
        <v>0</v>
      </c>
      <c r="M66" s="6">
        <f t="shared" si="3"/>
        <v>0</v>
      </c>
      <c r="N66" s="5" t="s">
        <v>549</v>
      </c>
      <c r="O66" s="5" t="s">
        <v>514</v>
      </c>
      <c r="P66" s="5" t="s">
        <v>495</v>
      </c>
      <c r="Q66" s="5" t="s">
        <v>504</v>
      </c>
      <c r="R66" s="5"/>
      <c r="S66" s="5"/>
      <c r="T66" s="10">
        <f t="shared" ca="1" si="4"/>
        <v>46059</v>
      </c>
      <c r="U66" s="5"/>
    </row>
    <row r="67" spans="1:21" ht="30" x14ac:dyDescent="0.25">
      <c r="A67" s="5" t="s">
        <v>498</v>
      </c>
      <c r="B67" s="5" t="s">
        <v>483</v>
      </c>
      <c r="C67" s="5" t="s">
        <v>297</v>
      </c>
      <c r="D67" s="5" t="str">
        <f>IF($C67="","",INDEX(PLAN_DESARROLLO!$B:$B,MATCH($C67,PLAN_DESARROLLO!$A:$A,0)))</f>
        <v>2024257770021</v>
      </c>
      <c r="E67" s="5" t="str">
        <f>IF($C67="","",INDEX(PLAN_DESARROLLO!$C:$C,MATCH($C67,PLAN_DESARROLLO!$A:$A,0)))</f>
        <v>POR EL SUPATÁ SOÑADO AVANZAMOS JUNTOS EN LA LÍNEA ESTRATÉGICA ECONÓMICA</v>
      </c>
      <c r="F67" s="5" t="str">
        <f>IF($C67="","",INDEX(PLAN_DESARROLLO!$D:$D,MATCH($C67,PLAN_DESARROLLO!$A:$A,0)))</f>
        <v>TRANSPORTE</v>
      </c>
      <c r="G67" s="5" t="str">
        <f>IF($C67="","",INDEX(PLAN_DESARROLLO!$E:$E,MATCH($C67,PLAN_DESARROLLO!$A:$A,0)))</f>
        <v>Mejoramiento y mantenimiento 2 puentes vehiculares,  en la zona rural o urbana del municipio</v>
      </c>
      <c r="H67" s="12">
        <v>2</v>
      </c>
      <c r="I67" s="12">
        <v>0</v>
      </c>
      <c r="J67" s="6">
        <f t="shared" si="2"/>
        <v>0</v>
      </c>
      <c r="K67" s="8">
        <v>0</v>
      </c>
      <c r="L67" s="8">
        <v>0</v>
      </c>
      <c r="M67" s="6">
        <f t="shared" si="3"/>
        <v>0</v>
      </c>
      <c r="N67" s="5" t="s">
        <v>549</v>
      </c>
      <c r="O67" s="5" t="s">
        <v>514</v>
      </c>
      <c r="P67" s="5" t="s">
        <v>495</v>
      </c>
      <c r="Q67" s="5" t="s">
        <v>504</v>
      </c>
      <c r="R67" s="5"/>
      <c r="S67" s="5"/>
      <c r="T67" s="10">
        <f t="shared" ca="1" si="4"/>
        <v>46059</v>
      </c>
      <c r="U67" s="5"/>
    </row>
    <row r="68" spans="1:21" ht="45" x14ac:dyDescent="0.25">
      <c r="A68" s="5" t="s">
        <v>494</v>
      </c>
      <c r="B68" s="5" t="s">
        <v>483</v>
      </c>
      <c r="C68" s="5" t="s">
        <v>299</v>
      </c>
      <c r="D68" s="5" t="str">
        <f>IF($C68="","",INDEX(PLAN_DESARROLLO!$B:$B,MATCH($C68,PLAN_DESARROLLO!$A:$A,0)))</f>
        <v>2024257770021</v>
      </c>
      <c r="E68" s="5" t="str">
        <f>IF($C68="","",INDEX(PLAN_DESARROLLO!$C:$C,MATCH($C68,PLAN_DESARROLLO!$A:$A,0)))</f>
        <v>POR EL SUPATÁ SOÑADO AVANZAMOS JUNTOS EN LA LÍNEA ESTRATÉGICA ECONÓMICA</v>
      </c>
      <c r="F68" s="5" t="str">
        <f>IF($C68="","",INDEX(PLAN_DESARROLLO!$D:$D,MATCH($C68,PLAN_DESARROLLO!$A:$A,0)))</f>
        <v>TRANSPORTE</v>
      </c>
      <c r="G68" s="5" t="str">
        <f>IF($C68="","",INDEX(PLAN_DESARROLLO!$E:$E,MATCH($C68,PLAN_DESARROLLO!$A:$A,0)))</f>
        <v>Hacer mantenimiento y/o adecuación  a  4 caminos reales  durante el cuatrienio.</v>
      </c>
      <c r="H68" s="12">
        <v>4</v>
      </c>
      <c r="I68" s="12">
        <v>4</v>
      </c>
      <c r="J68" s="6">
        <f t="shared" si="2"/>
        <v>1</v>
      </c>
      <c r="K68" s="8">
        <v>0</v>
      </c>
      <c r="L68" s="8">
        <v>0</v>
      </c>
      <c r="M68" s="6">
        <f t="shared" si="3"/>
        <v>0</v>
      </c>
      <c r="N68" s="5" t="s">
        <v>540</v>
      </c>
      <c r="O68" s="5" t="s">
        <v>496</v>
      </c>
      <c r="P68" s="5" t="s">
        <v>502</v>
      </c>
      <c r="Q68" s="5" t="s">
        <v>504</v>
      </c>
      <c r="R68" s="5"/>
      <c r="S68" s="5"/>
      <c r="T68" s="10">
        <f t="shared" ca="1" si="4"/>
        <v>46059</v>
      </c>
      <c r="U68" s="5"/>
    </row>
    <row r="69" spans="1:21" ht="45" x14ac:dyDescent="0.25">
      <c r="A69" s="5" t="s">
        <v>498</v>
      </c>
      <c r="B69" s="5" t="s">
        <v>483</v>
      </c>
      <c r="C69" s="5" t="s">
        <v>299</v>
      </c>
      <c r="D69" s="5" t="str">
        <f>IF($C69="","",INDEX(PLAN_DESARROLLO!$B:$B,MATCH($C69,PLAN_DESARROLLO!$A:$A,0)))</f>
        <v>2024257770021</v>
      </c>
      <c r="E69" s="5" t="str">
        <f>IF($C69="","",INDEX(PLAN_DESARROLLO!$C:$C,MATCH($C69,PLAN_DESARROLLO!$A:$A,0)))</f>
        <v>POR EL SUPATÁ SOÑADO AVANZAMOS JUNTOS EN LA LÍNEA ESTRATÉGICA ECONÓMICA</v>
      </c>
      <c r="F69" s="5" t="str">
        <f>IF($C69="","",INDEX(PLAN_DESARROLLO!$D:$D,MATCH($C69,PLAN_DESARROLLO!$A:$A,0)))</f>
        <v>TRANSPORTE</v>
      </c>
      <c r="G69" s="5" t="str">
        <f>IF($C69="","",INDEX(PLAN_DESARROLLO!$E:$E,MATCH($C69,PLAN_DESARROLLO!$A:$A,0)))</f>
        <v>Hacer mantenimiento y/o adecuación  a  4 caminos reales  durante el cuatrienio.</v>
      </c>
      <c r="H69" s="12">
        <v>4</v>
      </c>
      <c r="I69" s="12">
        <v>4</v>
      </c>
      <c r="J69" s="6">
        <f t="shared" si="2"/>
        <v>1</v>
      </c>
      <c r="K69" s="8">
        <v>0</v>
      </c>
      <c r="L69" s="8">
        <v>0</v>
      </c>
      <c r="M69" s="6">
        <f t="shared" si="3"/>
        <v>0</v>
      </c>
      <c r="N69" s="5" t="s">
        <v>540</v>
      </c>
      <c r="O69" s="5" t="s">
        <v>496</v>
      </c>
      <c r="P69" s="5" t="s">
        <v>502</v>
      </c>
      <c r="Q69" s="5" t="s">
        <v>504</v>
      </c>
      <c r="R69" s="5"/>
      <c r="S69" s="5"/>
      <c r="T69" s="10">
        <f t="shared" ca="1" si="4"/>
        <v>46059</v>
      </c>
      <c r="U69" s="5"/>
    </row>
    <row r="70" spans="1:21" ht="30" x14ac:dyDescent="0.25">
      <c r="A70" s="5" t="s">
        <v>494</v>
      </c>
      <c r="B70" s="5" t="s">
        <v>483</v>
      </c>
      <c r="C70" s="5" t="s">
        <v>301</v>
      </c>
      <c r="D70" s="5" t="str">
        <f>IF($C70="","",INDEX(PLAN_DESARROLLO!$B:$B,MATCH($C70,PLAN_DESARROLLO!$A:$A,0)))</f>
        <v>2024257770021</v>
      </c>
      <c r="E70" s="5" t="str">
        <f>IF($C70="","",INDEX(PLAN_DESARROLLO!$C:$C,MATCH($C70,PLAN_DESARROLLO!$A:$A,0)))</f>
        <v>POR EL SUPATÁ SOÑADO AVANZAMOS JUNTOS EN LA LÍNEA ESTRATÉGICA ECONÓMICA</v>
      </c>
      <c r="F70" s="5" t="str">
        <f>IF($C70="","",INDEX(PLAN_DESARROLLO!$D:$D,MATCH($C70,PLAN_DESARROLLO!$A:$A,0)))</f>
        <v>TRANSPORTE</v>
      </c>
      <c r="G70" s="5" t="str">
        <f>IF($C70="","",INDEX(PLAN_DESARROLLO!$E:$E,MATCH($C70,PLAN_DESARROLLO!$A:$A,0)))</f>
        <v xml:space="preserve">Realizar 300 metros lineales de señalizacion de vías terciarias y urbanas del municipio. </v>
      </c>
      <c r="H70" s="12">
        <v>300</v>
      </c>
      <c r="I70" s="12">
        <v>0</v>
      </c>
      <c r="J70" s="6">
        <f t="shared" ref="J70:J133" si="5">IF(OR($H70="",$I70=""),"",IFERROR($I70/$H70,0))</f>
        <v>0</v>
      </c>
      <c r="K70" s="8">
        <v>0</v>
      </c>
      <c r="L70" s="8">
        <v>0</v>
      </c>
      <c r="M70" s="6">
        <f t="shared" ref="M70:M133" si="6">IF(OR($K70="",$L70=""),"",IFERROR($L70/$K70,0))</f>
        <v>0</v>
      </c>
      <c r="N70" s="5" t="s">
        <v>550</v>
      </c>
      <c r="O70" s="5" t="s">
        <v>496</v>
      </c>
      <c r="P70" s="5" t="s">
        <v>495</v>
      </c>
      <c r="Q70" s="5" t="s">
        <v>504</v>
      </c>
      <c r="R70" s="5"/>
      <c r="S70" s="5"/>
      <c r="T70" s="10">
        <f t="shared" ref="T70:T111" ca="1" si="7">IF($A70="","",TODAY())</f>
        <v>46059</v>
      </c>
      <c r="U70" s="5"/>
    </row>
    <row r="71" spans="1:21" ht="30" x14ac:dyDescent="0.25">
      <c r="A71" s="5" t="s">
        <v>498</v>
      </c>
      <c r="B71" s="5" t="s">
        <v>483</v>
      </c>
      <c r="C71" s="5" t="s">
        <v>301</v>
      </c>
      <c r="D71" s="5" t="str">
        <f>IF($C71="","",INDEX(PLAN_DESARROLLO!$B:$B,MATCH($C71,PLAN_DESARROLLO!$A:$A,0)))</f>
        <v>2024257770021</v>
      </c>
      <c r="E71" s="5" t="str">
        <f>IF($C71="","",INDEX(PLAN_DESARROLLO!$C:$C,MATCH($C71,PLAN_DESARROLLO!$A:$A,0)))</f>
        <v>POR EL SUPATÁ SOÑADO AVANZAMOS JUNTOS EN LA LÍNEA ESTRATÉGICA ECONÓMICA</v>
      </c>
      <c r="F71" s="5" t="str">
        <f>IF($C71="","",INDEX(PLAN_DESARROLLO!$D:$D,MATCH($C71,PLAN_DESARROLLO!$A:$A,0)))</f>
        <v>TRANSPORTE</v>
      </c>
      <c r="G71" s="5" t="str">
        <f>IF($C71="","",INDEX(PLAN_DESARROLLO!$E:$E,MATCH($C71,PLAN_DESARROLLO!$A:$A,0)))</f>
        <v xml:space="preserve">Realizar 300 metros lineales de señalizacion de vías terciarias y urbanas del municipio. </v>
      </c>
      <c r="H71" s="12">
        <v>300</v>
      </c>
      <c r="I71" s="12">
        <v>0</v>
      </c>
      <c r="J71" s="6">
        <f t="shared" si="5"/>
        <v>0</v>
      </c>
      <c r="K71" s="8">
        <v>0</v>
      </c>
      <c r="L71" s="8">
        <v>0</v>
      </c>
      <c r="M71" s="6">
        <f t="shared" si="6"/>
        <v>0</v>
      </c>
      <c r="N71" s="5" t="s">
        <v>550</v>
      </c>
      <c r="O71" s="5" t="s">
        <v>496</v>
      </c>
      <c r="P71" s="5" t="s">
        <v>495</v>
      </c>
      <c r="Q71" s="5" t="s">
        <v>504</v>
      </c>
      <c r="R71" s="5"/>
      <c r="S71" s="5"/>
      <c r="T71" s="10">
        <f t="shared" ca="1" si="7"/>
        <v>46059</v>
      </c>
      <c r="U71" s="5"/>
    </row>
    <row r="72" spans="1:21" ht="30" x14ac:dyDescent="0.25">
      <c r="A72" s="5" t="s">
        <v>494</v>
      </c>
      <c r="B72" s="5" t="s">
        <v>483</v>
      </c>
      <c r="C72" s="5" t="s">
        <v>303</v>
      </c>
      <c r="D72" s="5" t="str">
        <f>IF($C72="","",INDEX(PLAN_DESARROLLO!$B:$B,MATCH($C72,PLAN_DESARROLLO!$A:$A,0)))</f>
        <v>2024257770021</v>
      </c>
      <c r="E72" s="5" t="str">
        <f>IF($C72="","",INDEX(PLAN_DESARROLLO!$C:$C,MATCH($C71,PLAN_DESARROLLO!$A:$A,0)))</f>
        <v>POR EL SUPATÁ SOÑADO AVANZAMOS JUNTOS EN LA LÍNEA ESTRATÉGICA ECONÓMICA</v>
      </c>
      <c r="F72" s="5" t="str">
        <f>IF($C72="","",INDEX(PLAN_DESARROLLO!$D:$D,MATCH($C71,PLAN_DESARROLLO!$A:$A,0)))</f>
        <v>TRANSPORTE</v>
      </c>
      <c r="G72" s="5" t="str">
        <f>IF($C72="","",INDEX(PLAN_DESARROLLO!$E:$E,MATCH($C72,PLAN_DESARROLLO!$A:$A,0)))</f>
        <v>Realizar  4 capacitaciones sobre seguridad vial a los actores viales del municipio</v>
      </c>
      <c r="H72" s="12">
        <v>0</v>
      </c>
      <c r="I72" s="12">
        <v>0</v>
      </c>
      <c r="J72" s="6">
        <f t="shared" si="5"/>
        <v>0</v>
      </c>
      <c r="K72" s="8">
        <v>0</v>
      </c>
      <c r="L72" s="8">
        <v>0</v>
      </c>
      <c r="M72" s="6">
        <f t="shared" si="6"/>
        <v>0</v>
      </c>
      <c r="N72" s="5" t="s">
        <v>551</v>
      </c>
      <c r="O72" s="5" t="s">
        <v>514</v>
      </c>
      <c r="P72" s="5" t="s">
        <v>495</v>
      </c>
      <c r="Q72" s="5" t="s">
        <v>504</v>
      </c>
      <c r="S72" s="5"/>
      <c r="T72" s="10">
        <f t="shared" ca="1" si="7"/>
        <v>46059</v>
      </c>
      <c r="U72" s="5"/>
    </row>
    <row r="73" spans="1:21" ht="30" x14ac:dyDescent="0.25">
      <c r="A73" s="5" t="s">
        <v>498</v>
      </c>
      <c r="B73" s="5" t="s">
        <v>483</v>
      </c>
      <c r="C73" s="5" t="s">
        <v>303</v>
      </c>
      <c r="D73" s="5" t="str">
        <f>IF($C73="","",INDEX(PLAN_DESARROLLO!$B:$B,MATCH($C73,PLAN_DESARROLLO!$A:$A,0)))</f>
        <v>2024257770021</v>
      </c>
      <c r="E73" s="5" t="str">
        <f>IF($C73="","",INDEX(PLAN_DESARROLLO!$C:$C,MATCH($C71,PLAN_DESARROLLO!$A:$A,0)))</f>
        <v>POR EL SUPATÁ SOÑADO AVANZAMOS JUNTOS EN LA LÍNEA ESTRATÉGICA ECONÓMICA</v>
      </c>
      <c r="F73" s="5" t="str">
        <f>IF($C73="","",INDEX(PLAN_DESARROLLO!$D:$D,MATCH($C71,PLAN_DESARROLLO!$A:$A,0)))</f>
        <v>TRANSPORTE</v>
      </c>
      <c r="G73" s="5" t="str">
        <f>IF($C73="","",INDEX(PLAN_DESARROLLO!$E:$E,MATCH($C73,PLAN_DESARROLLO!$A:$A,0)))</f>
        <v>Realizar  4 capacitaciones sobre seguridad vial a los actores viales del municipio</v>
      </c>
      <c r="H73" s="12">
        <v>0</v>
      </c>
      <c r="I73" s="12">
        <v>0</v>
      </c>
      <c r="J73" s="6">
        <f t="shared" si="5"/>
        <v>0</v>
      </c>
      <c r="K73" s="8">
        <v>0</v>
      </c>
      <c r="L73" s="8">
        <v>0</v>
      </c>
      <c r="M73" s="6">
        <f t="shared" si="6"/>
        <v>0</v>
      </c>
      <c r="N73" s="5" t="s">
        <v>551</v>
      </c>
      <c r="O73" s="5" t="s">
        <v>514</v>
      </c>
      <c r="P73" s="5" t="s">
        <v>495</v>
      </c>
      <c r="Q73" s="5" t="s">
        <v>504</v>
      </c>
      <c r="S73" s="5"/>
      <c r="T73" s="10">
        <f t="shared" ca="1" si="7"/>
        <v>46059</v>
      </c>
      <c r="U73" s="5"/>
    </row>
    <row r="74" spans="1:21" ht="30" x14ac:dyDescent="0.25">
      <c r="A74" s="5" t="s">
        <v>494</v>
      </c>
      <c r="B74" s="5" t="s">
        <v>483</v>
      </c>
      <c r="C74" s="5" t="s">
        <v>345</v>
      </c>
      <c r="D74" s="5" t="str">
        <f>IF($C74="","",INDEX(PLAN_DESARROLLO!$B:$B,MATCH($C74,PLAN_DESARROLLO!$A:$A,0)))</f>
        <v>2024257770029</v>
      </c>
      <c r="E74" s="5" t="str">
        <f>IF($C74="","",INDEX(PLAN_DESARROLLO!$C:$C,MATCH($C74,PLAN_DESARROLLO!$A:$A,0)))</f>
        <v>POR EL SUPATÁ SOÑADO AVANZAMOS JUNTOS EN LA LÍNEA ESTRATÉGICA ECONÓMICA</v>
      </c>
      <c r="F74" s="5" t="str">
        <f>IF($C74="","",INDEX(PLAN_DESARROLLO!$D:$D,MATCH($C74,PLAN_DESARROLLO!$A:$A,0)))</f>
        <v>AGROPECUARIO</v>
      </c>
      <c r="G74" s="5" t="str">
        <f>IF($C74="","",INDEX(PLAN_DESARROLLO!$E:$E,MATCH($C74,PLAN_DESARROLLO!$A:$A,0)))</f>
        <v xml:space="preserve">gestionar los estudios y diseños de un centro de acopio para productos agropecuarios. </v>
      </c>
      <c r="H74" s="12">
        <v>1</v>
      </c>
      <c r="I74" s="12">
        <v>0</v>
      </c>
      <c r="J74" s="6">
        <f t="shared" si="5"/>
        <v>0</v>
      </c>
      <c r="K74" s="8">
        <v>0</v>
      </c>
      <c r="L74" s="8">
        <v>0</v>
      </c>
      <c r="M74" s="6">
        <f t="shared" si="6"/>
        <v>0</v>
      </c>
      <c r="N74" s="5" t="s">
        <v>550</v>
      </c>
      <c r="O74" s="5" t="s">
        <v>496</v>
      </c>
      <c r="P74" s="5" t="s">
        <v>495</v>
      </c>
      <c r="Q74" s="5" t="s">
        <v>504</v>
      </c>
      <c r="R74" s="5"/>
      <c r="S74" s="5"/>
      <c r="T74" s="10">
        <f t="shared" ca="1" si="7"/>
        <v>46059</v>
      </c>
      <c r="U74" s="5"/>
    </row>
    <row r="75" spans="1:21" ht="30" x14ac:dyDescent="0.25">
      <c r="A75" s="5" t="s">
        <v>498</v>
      </c>
      <c r="B75" s="5" t="s">
        <v>483</v>
      </c>
      <c r="C75" s="5" t="s">
        <v>345</v>
      </c>
      <c r="D75" s="5" t="str">
        <f>IF($C75="","",INDEX(PLAN_DESARROLLO!$B:$B,MATCH($C75,PLAN_DESARROLLO!$A:$A,0)))</f>
        <v>2024257770029</v>
      </c>
      <c r="E75" s="5" t="str">
        <f>IF($C75="","",INDEX(PLAN_DESARROLLO!$C:$C,MATCH($C75,PLAN_DESARROLLO!$A:$A,0)))</f>
        <v>POR EL SUPATÁ SOÑADO AVANZAMOS JUNTOS EN LA LÍNEA ESTRATÉGICA ECONÓMICA</v>
      </c>
      <c r="F75" s="5" t="str">
        <f>IF($C75="","",INDEX(PLAN_DESARROLLO!$D:$D,MATCH($C75,PLAN_DESARROLLO!$A:$A,0)))</f>
        <v>AGROPECUARIO</v>
      </c>
      <c r="G75" s="5" t="str">
        <f>IF($C75="","",INDEX(PLAN_DESARROLLO!$E:$E,MATCH($C75,PLAN_DESARROLLO!$A:$A,0)))</f>
        <v xml:space="preserve">gestionar los estudios y diseños de un centro de acopio para productos agropecuarios. </v>
      </c>
      <c r="H75" s="12">
        <v>1</v>
      </c>
      <c r="I75" s="12">
        <v>0</v>
      </c>
      <c r="J75" s="6">
        <f t="shared" si="5"/>
        <v>0</v>
      </c>
      <c r="K75" s="8">
        <v>0</v>
      </c>
      <c r="L75" s="8">
        <v>0</v>
      </c>
      <c r="M75" s="6">
        <f t="shared" si="6"/>
        <v>0</v>
      </c>
      <c r="N75" s="5" t="s">
        <v>550</v>
      </c>
      <c r="O75" s="5" t="s">
        <v>496</v>
      </c>
      <c r="P75" s="5" t="s">
        <v>495</v>
      </c>
      <c r="Q75" s="5" t="s">
        <v>504</v>
      </c>
      <c r="R75" s="5"/>
      <c r="S75" s="5"/>
      <c r="T75" s="10">
        <f t="shared" ca="1" si="7"/>
        <v>46059</v>
      </c>
      <c r="U75" s="5"/>
    </row>
    <row r="76" spans="1:21" ht="45" x14ac:dyDescent="0.25">
      <c r="A76" s="5" t="s">
        <v>494</v>
      </c>
      <c r="B76" s="5" t="s">
        <v>483</v>
      </c>
      <c r="C76" s="5" t="s">
        <v>356</v>
      </c>
      <c r="D76" s="5" t="str">
        <f>IF($C76="","",INDEX(PLAN_DESARROLLO!$B:$B,MATCH($C76,PLAN_DESARROLLO!$A:$A,0)))</f>
        <v>2024257770030</v>
      </c>
      <c r="E76" s="5" t="str">
        <f>IF($C76="","",INDEX(PLAN_DESARROLLO!$C:$C,MATCH($C76,PLAN_DESARROLLO!$A:$A,0)))</f>
        <v>POR EL SUPATÁ SOÑADO AVANZAMOS JUNTOS EN LA LÍNEA ESTRATÉGICA INSTITUCIONAL</v>
      </c>
      <c r="F76" s="5" t="str">
        <f>IF($C76="","",INDEX(PLAN_DESARROLLO!$D:$D,MATCH($C76,PLAN_DESARROLLO!$A:$A,0)))</f>
        <v>FORTALECIMIENTO INSTITUCIONAL</v>
      </c>
      <c r="G76" s="5" t="str">
        <f>IF($C76="","",INDEX(PLAN_DESARROLLO!$E:$E,MATCH($C76,PLAN_DESARROLLO!$A:$A,0)))</f>
        <v>Realizar un mantenimiento anual de los bienes inmuebles  de propiedad del municipio en el cuatrienio.</v>
      </c>
      <c r="H76" s="12">
        <v>1</v>
      </c>
      <c r="I76" s="12">
        <v>1</v>
      </c>
      <c r="J76" s="6">
        <f t="shared" si="5"/>
        <v>1</v>
      </c>
      <c r="K76" s="8">
        <v>30000000</v>
      </c>
      <c r="L76" s="8">
        <v>30000000</v>
      </c>
      <c r="M76" s="6">
        <f t="shared" si="6"/>
        <v>1</v>
      </c>
      <c r="N76" s="5" t="s">
        <v>552</v>
      </c>
      <c r="O76" s="5" t="s">
        <v>496</v>
      </c>
      <c r="P76" s="5" t="s">
        <v>502</v>
      </c>
      <c r="Q76" s="5" t="s">
        <v>504</v>
      </c>
      <c r="R76" s="5"/>
      <c r="S76" s="5"/>
      <c r="T76" s="10">
        <f t="shared" ca="1" si="7"/>
        <v>46059</v>
      </c>
      <c r="U76" s="5"/>
    </row>
    <row r="77" spans="1:21" ht="30" x14ac:dyDescent="0.25">
      <c r="A77" s="5" t="s">
        <v>498</v>
      </c>
      <c r="B77" s="5" t="s">
        <v>483</v>
      </c>
      <c r="C77" s="5" t="s">
        <v>356</v>
      </c>
      <c r="D77" s="5" t="str">
        <f>IF($C77="","",INDEX(PLAN_DESARROLLO!$B:$B,MATCH($C77,PLAN_DESARROLLO!$A:$A,0)))</f>
        <v>2024257770030</v>
      </c>
      <c r="E77" s="5" t="str">
        <f>IF($C77="","",INDEX(PLAN_DESARROLLO!$C:$C,MATCH($C77,PLAN_DESARROLLO!$A:$A,0)))</f>
        <v>POR EL SUPATÁ SOÑADO AVANZAMOS JUNTOS EN LA LÍNEA ESTRATÉGICA INSTITUCIONAL</v>
      </c>
      <c r="F77" s="5" t="str">
        <f>IF($C77="","",INDEX(PLAN_DESARROLLO!$D:$D,MATCH($C77,PLAN_DESARROLLO!$A:$A,0)))</f>
        <v>FORTALECIMIENTO INSTITUCIONAL</v>
      </c>
      <c r="G77" s="5" t="str">
        <f>IF($C77="","",INDEX(PLAN_DESARROLLO!$E:$E,MATCH($C77,PLAN_DESARROLLO!$A:$A,0)))</f>
        <v>Realizar un mantenimiento anual de los bienes inmuebles  de propiedad del municipio en el cuatrienio.</v>
      </c>
      <c r="H77" s="12">
        <v>1</v>
      </c>
      <c r="I77" s="12">
        <v>1</v>
      </c>
      <c r="J77" s="6">
        <f t="shared" si="5"/>
        <v>1</v>
      </c>
      <c r="K77" s="8">
        <v>30000000</v>
      </c>
      <c r="L77" s="8">
        <v>30000000</v>
      </c>
      <c r="M77" s="6">
        <f t="shared" si="6"/>
        <v>1</v>
      </c>
      <c r="N77" s="5" t="s">
        <v>553</v>
      </c>
      <c r="O77" s="5" t="s">
        <v>496</v>
      </c>
      <c r="P77" s="5" t="s">
        <v>502</v>
      </c>
      <c r="Q77" s="5" t="s">
        <v>504</v>
      </c>
      <c r="R77" s="5"/>
      <c r="S77" s="5"/>
      <c r="T77" s="10">
        <f t="shared" ca="1" si="7"/>
        <v>46059</v>
      </c>
      <c r="U77" s="5"/>
    </row>
    <row r="78" spans="1:21" ht="30" x14ac:dyDescent="0.25">
      <c r="A78" s="5" t="s">
        <v>494</v>
      </c>
      <c r="B78" s="5" t="s">
        <v>483</v>
      </c>
      <c r="C78" s="5" t="s">
        <v>358</v>
      </c>
      <c r="D78" s="5" t="str">
        <f>IF($C78="","",INDEX(PLAN_DESARROLLO!$B:$B,MATCH($C78,PLAN_DESARROLLO!$A:$A,0)))</f>
        <v>2024257770030</v>
      </c>
      <c r="E78" s="5" t="str">
        <f>IF($C78="","",INDEX(PLAN_DESARROLLO!$C:$C,MATCH($C78,PLAN_DESARROLLO!$A:$A,0)))</f>
        <v>POR EL SUPATÁ SOÑADO AVANZAMOS JUNTOS EN LA LÍNEA ESTRATÉGICA INSTITUCIONAL</v>
      </c>
      <c r="F78" s="5" t="str">
        <f>IF($C78="","",INDEX(PLAN_DESARROLLO!$D:$D,MATCH($C78,PLAN_DESARROLLO!$A:$A,0)))</f>
        <v>FORTALECIMIENTO INSTITUCIONAL</v>
      </c>
      <c r="G78" s="5" t="str">
        <f>IF($C78="","",INDEX(PLAN_DESARROLLO!$E:$E,MATCH($C78,PLAN_DESARROLLO!$A:$A,0)))</f>
        <v>Realizar construcción de la infraestructura de la Casa de Gobierno del municipio</v>
      </c>
      <c r="H78" s="12">
        <v>1</v>
      </c>
      <c r="I78" s="12">
        <v>0</v>
      </c>
      <c r="J78" s="6">
        <f t="shared" si="5"/>
        <v>0</v>
      </c>
      <c r="K78" s="8">
        <v>0</v>
      </c>
      <c r="L78" s="8">
        <v>0</v>
      </c>
      <c r="M78" s="6">
        <f t="shared" si="6"/>
        <v>0</v>
      </c>
      <c r="N78" s="5" t="s">
        <v>554</v>
      </c>
      <c r="O78" s="5" t="s">
        <v>514</v>
      </c>
      <c r="P78" s="5" t="s">
        <v>499</v>
      </c>
      <c r="Q78" s="5" t="s">
        <v>504</v>
      </c>
      <c r="R78" s="5"/>
      <c r="S78" s="5"/>
      <c r="T78" s="10">
        <f t="shared" ca="1" si="7"/>
        <v>46059</v>
      </c>
      <c r="U78" s="5"/>
    </row>
    <row r="79" spans="1:21" ht="60" x14ac:dyDescent="0.25">
      <c r="A79" s="5" t="s">
        <v>498</v>
      </c>
      <c r="B79" s="5" t="s">
        <v>483</v>
      </c>
      <c r="C79" s="5" t="s">
        <v>358</v>
      </c>
      <c r="D79" s="5" t="str">
        <f>IF($C79="","",INDEX(PLAN_DESARROLLO!$B:$B,MATCH($C79,PLAN_DESARROLLO!$A:$A,0)))</f>
        <v>2024257770030</v>
      </c>
      <c r="E79" s="5" t="str">
        <f>IF($C79="","",INDEX(PLAN_DESARROLLO!$C:$C,MATCH($C79,PLAN_DESARROLLO!$A:$A,0)))</f>
        <v>POR EL SUPATÁ SOÑADO AVANZAMOS JUNTOS EN LA LÍNEA ESTRATÉGICA INSTITUCIONAL</v>
      </c>
      <c r="F79" s="5" t="str">
        <f>IF($C79="","",INDEX(PLAN_DESARROLLO!$D:$D,MATCH($C79,PLAN_DESARROLLO!$A:$A,0)))</f>
        <v>FORTALECIMIENTO INSTITUCIONAL</v>
      </c>
      <c r="G79" s="5" t="str">
        <f>IF($C79="","",INDEX(PLAN_DESARROLLO!$E:$E,MATCH($C79,PLAN_DESARROLLO!$A:$A,0)))</f>
        <v>Realizar construcción de la infraestructura de la Casa de Gobierno del municipio</v>
      </c>
      <c r="H79" s="12">
        <v>1</v>
      </c>
      <c r="I79" s="12">
        <v>1</v>
      </c>
      <c r="J79" s="6">
        <f t="shared" si="5"/>
        <v>1</v>
      </c>
      <c r="K79" s="8">
        <v>3970000000</v>
      </c>
      <c r="L79" s="8">
        <v>3970000000</v>
      </c>
      <c r="M79" s="6">
        <f t="shared" si="6"/>
        <v>1</v>
      </c>
      <c r="N79" s="5" t="str">
        <f>N23</f>
        <v xml:space="preserve">en proceso de adjudicacion luego de ser aprobados los estudios y diseños, en convenio entre la gobernacion de cundinamarca y los fondos por regalias </v>
      </c>
      <c r="O79" s="5" t="s">
        <v>514</v>
      </c>
      <c r="P79" s="5" t="s">
        <v>499</v>
      </c>
      <c r="Q79" s="5" t="s">
        <v>504</v>
      </c>
      <c r="R79" s="5"/>
      <c r="S79" s="5"/>
      <c r="T79" s="10">
        <f t="shared" ca="1" si="7"/>
        <v>46059</v>
      </c>
      <c r="U79" s="5"/>
    </row>
    <row r="80" spans="1:21" ht="30" x14ac:dyDescent="0.25">
      <c r="A80" s="5" t="s">
        <v>494</v>
      </c>
      <c r="B80" s="5" t="s">
        <v>483</v>
      </c>
      <c r="C80" s="5" t="s">
        <v>368</v>
      </c>
      <c r="D80" s="5" t="str">
        <f>IF($C80="","",INDEX(PLAN_DESARROLLO!$B:$B,MATCH($C80,PLAN_DESARROLLO!$A:$A,0)))</f>
        <v>2024257770031</v>
      </c>
      <c r="E80" s="5" t="str">
        <f>IF($C80="","",INDEX(PLAN_DESARROLLO!$C:$C,MATCH($C80,PLAN_DESARROLLO!$A:$A,0)))</f>
        <v>POR EL SUPATÁ SOÑADO AVANZAMOS JUNTOS EN LA LÍNEA ESTRATÉGICA INSTITUCIONAL</v>
      </c>
      <c r="F80" s="5" t="str">
        <f>IF($C80="","",INDEX(PLAN_DESARROLLO!$D:$D,MATCH($C80,PLAN_DESARROLLO!$A:$A,0)))</f>
        <v>FORTALECIMIENTO INSTITUCIONAL</v>
      </c>
      <c r="G80" s="5" t="str">
        <f>IF($C80="","",INDEX(PLAN_DESARROLLO!$E:$E,MATCH($C80,PLAN_DESARROLLO!$A:$A,0)))</f>
        <v>Realizar (8) reuniones del CMGRD para el establecimiento de mecanismos alerta y reacción ante situaciones de riesgo.</v>
      </c>
      <c r="H80" s="12">
        <v>8</v>
      </c>
      <c r="I80" s="12">
        <v>12</v>
      </c>
      <c r="J80" s="6">
        <f t="shared" si="5"/>
        <v>1.5</v>
      </c>
      <c r="K80" s="8">
        <v>0</v>
      </c>
      <c r="L80" s="8">
        <v>0</v>
      </c>
      <c r="M80" s="6">
        <f t="shared" si="6"/>
        <v>0</v>
      </c>
      <c r="N80" s="5" t="s">
        <v>556</v>
      </c>
      <c r="O80" s="5" t="s">
        <v>496</v>
      </c>
      <c r="P80" s="5" t="s">
        <v>502</v>
      </c>
      <c r="Q80" s="5" t="s">
        <v>504</v>
      </c>
      <c r="R80" s="5"/>
      <c r="S80" s="5"/>
      <c r="T80" s="10">
        <f t="shared" ca="1" si="7"/>
        <v>46059</v>
      </c>
      <c r="U80" s="5"/>
    </row>
    <row r="81" spans="1:21" ht="30" x14ac:dyDescent="0.25">
      <c r="A81" s="5" t="s">
        <v>498</v>
      </c>
      <c r="B81" s="5" t="s">
        <v>483</v>
      </c>
      <c r="C81" s="5" t="s">
        <v>368</v>
      </c>
      <c r="D81" s="5" t="str">
        <f>IF($C81="","",INDEX(PLAN_DESARROLLO!$B:$B,MATCH($C81,PLAN_DESARROLLO!$A:$A,0)))</f>
        <v>2024257770031</v>
      </c>
      <c r="E81" s="5" t="str">
        <f>IF($C81="","",INDEX(PLAN_DESARROLLO!$C:$C,MATCH($C81,PLAN_DESARROLLO!$A:$A,0)))</f>
        <v>POR EL SUPATÁ SOÑADO AVANZAMOS JUNTOS EN LA LÍNEA ESTRATÉGICA INSTITUCIONAL</v>
      </c>
      <c r="F81" s="5" t="str">
        <f>IF($C81="","",INDEX(PLAN_DESARROLLO!$D:$D,MATCH($C81,PLAN_DESARROLLO!$A:$A,0)))</f>
        <v>FORTALECIMIENTO INSTITUCIONAL</v>
      </c>
      <c r="G81" s="5" t="str">
        <f>IF($C81="","",INDEX(PLAN_DESARROLLO!$E:$E,MATCH($C81,PLAN_DESARROLLO!$A:$A,0)))</f>
        <v>Realizar (8) reuniones del CMGRD para el establecimiento de mecanismos alerta y reacción ante situaciones de riesgo.</v>
      </c>
      <c r="H81" s="12">
        <v>8</v>
      </c>
      <c r="I81" s="12">
        <v>15</v>
      </c>
      <c r="J81" s="6">
        <f t="shared" si="5"/>
        <v>1.875</v>
      </c>
      <c r="K81" s="8">
        <v>0</v>
      </c>
      <c r="L81" s="8">
        <v>0</v>
      </c>
      <c r="M81" s="6">
        <f t="shared" si="6"/>
        <v>0</v>
      </c>
      <c r="N81" s="5" t="s">
        <v>556</v>
      </c>
      <c r="O81" s="5" t="s">
        <v>496</v>
      </c>
      <c r="P81" s="5" t="s">
        <v>502</v>
      </c>
      <c r="Q81" s="5" t="s">
        <v>504</v>
      </c>
      <c r="R81" s="5"/>
      <c r="S81" s="5"/>
      <c r="T81" s="10">
        <f t="shared" ca="1" si="7"/>
        <v>46059</v>
      </c>
      <c r="U81" s="5"/>
    </row>
    <row r="82" spans="1:21" ht="30" x14ac:dyDescent="0.25">
      <c r="A82" s="5" t="s">
        <v>494</v>
      </c>
      <c r="B82" s="5" t="s">
        <v>483</v>
      </c>
      <c r="C82" s="5" t="s">
        <v>371</v>
      </c>
      <c r="D82" s="5" t="str">
        <f>IF($C82="","",INDEX(PLAN_DESARROLLO!$B:$B,MATCH($C82,PLAN_DESARROLLO!$A:$A,0)))</f>
        <v>2024257770031</v>
      </c>
      <c r="E82" s="5" t="str">
        <f>IF($C82="","",INDEX(PLAN_DESARROLLO!$C:$C,MATCH($C82,PLAN_DESARROLLO!$A:$A,0)))</f>
        <v>POR EL SUPATÁ SOÑADO AVANZAMOS JUNTOS EN LA LÍNEA ESTRATÉGICA INSTITUCIONAL</v>
      </c>
      <c r="F82" s="5" t="str">
        <f>IF($C82="","",INDEX(PLAN_DESARROLLO!$D:$D,MATCH($C82,PLAN_DESARROLLO!$A:$A,0)))</f>
        <v>FORTALECIMIENTO INSTITUCIONAL</v>
      </c>
      <c r="G82" s="5" t="str">
        <f>IF($C82="","",INDEX(PLAN_DESARROLLO!$E:$E,MATCH($C82,PLAN_DESARROLLO!$A:$A,0)))</f>
        <v>Realizar un convenio con el cuerpo de bomberos</v>
      </c>
      <c r="H82" s="12">
        <v>1</v>
      </c>
      <c r="I82" s="12">
        <v>1</v>
      </c>
      <c r="J82" s="6">
        <f t="shared" si="5"/>
        <v>1</v>
      </c>
      <c r="K82" s="8">
        <v>100000000</v>
      </c>
      <c r="L82" s="8">
        <v>100000000</v>
      </c>
      <c r="M82" s="6">
        <f t="shared" si="6"/>
        <v>1</v>
      </c>
      <c r="N82" s="5" t="s">
        <v>557</v>
      </c>
      <c r="O82" s="5" t="s">
        <v>496</v>
      </c>
      <c r="P82" s="5" t="s">
        <v>502</v>
      </c>
      <c r="Q82" s="5" t="s">
        <v>504</v>
      </c>
      <c r="R82" s="5"/>
      <c r="S82" s="5"/>
      <c r="T82" s="10">
        <f t="shared" ca="1" si="7"/>
        <v>46059</v>
      </c>
      <c r="U82" s="5"/>
    </row>
    <row r="83" spans="1:21" ht="30" x14ac:dyDescent="0.25">
      <c r="A83" s="5" t="s">
        <v>498</v>
      </c>
      <c r="B83" s="5" t="s">
        <v>483</v>
      </c>
      <c r="C83" s="5" t="s">
        <v>371</v>
      </c>
      <c r="D83" s="5" t="str">
        <f>IF($C83="","",INDEX(PLAN_DESARROLLO!$B:$B,MATCH($C83,PLAN_DESARROLLO!$A:$A,0)))</f>
        <v>2024257770031</v>
      </c>
      <c r="E83" s="5" t="str">
        <f>IF($C83="","",INDEX(PLAN_DESARROLLO!$C:$C,MATCH($C83,PLAN_DESARROLLO!$A:$A,0)))</f>
        <v>POR EL SUPATÁ SOÑADO AVANZAMOS JUNTOS EN LA LÍNEA ESTRATÉGICA INSTITUCIONAL</v>
      </c>
      <c r="F83" s="5" t="str">
        <f>IF($C83="","",INDEX(PLAN_DESARROLLO!$D:$D,MATCH($C83,PLAN_DESARROLLO!$A:$A,0)))</f>
        <v>FORTALECIMIENTO INSTITUCIONAL</v>
      </c>
      <c r="G83" s="5" t="str">
        <f>IF($C83="","",INDEX(PLAN_DESARROLLO!$E:$E,MATCH($C83,PLAN_DESARROLLO!$A:$A,0)))</f>
        <v>Realizar un convenio con el cuerpo de bomberos</v>
      </c>
      <c r="H83" s="12">
        <v>1</v>
      </c>
      <c r="I83" s="12">
        <v>1</v>
      </c>
      <c r="J83" s="6">
        <f t="shared" si="5"/>
        <v>1</v>
      </c>
      <c r="K83" s="8">
        <v>100000000</v>
      </c>
      <c r="L83" s="8">
        <v>100000000</v>
      </c>
      <c r="M83" s="6">
        <f t="shared" si="6"/>
        <v>1</v>
      </c>
      <c r="N83" s="5" t="s">
        <v>557</v>
      </c>
      <c r="O83" s="5" t="s">
        <v>496</v>
      </c>
      <c r="P83" s="5" t="s">
        <v>502</v>
      </c>
      <c r="Q83" s="5" t="s">
        <v>504</v>
      </c>
      <c r="R83" s="5"/>
      <c r="S83" s="5"/>
      <c r="T83" s="10">
        <f t="shared" ca="1" si="7"/>
        <v>46059</v>
      </c>
      <c r="U83" s="5"/>
    </row>
    <row r="84" spans="1:21" ht="30" x14ac:dyDescent="0.25">
      <c r="A84" s="5" t="s">
        <v>494</v>
      </c>
      <c r="B84" s="5" t="s">
        <v>483</v>
      </c>
      <c r="C84" s="5" t="s">
        <v>373</v>
      </c>
      <c r="D84" s="5" t="str">
        <f>IF($C84="","",INDEX(PLAN_DESARROLLO!$B:$B,MATCH($C84,PLAN_DESARROLLO!$A:$A,0)))</f>
        <v>2024257770031</v>
      </c>
      <c r="E84" s="5" t="str">
        <f>IF($C84="","",INDEX(PLAN_DESARROLLO!$C:$C,MATCH($C84,PLAN_DESARROLLO!$A:$A,0)))</f>
        <v>POR EL SUPATÁ SOÑADO AVANZAMOS JUNTOS EN LA LÍNEA ESTRATÉGICA INSTITUCIONAL</v>
      </c>
      <c r="F84" s="5" t="str">
        <f>IF($C84="","",INDEX(PLAN_DESARROLLO!$D:$D,MATCH($C84,PLAN_DESARROLLO!$A:$A,0)))</f>
        <v>FORTALECIMIENTO INSTITUCIONAL</v>
      </c>
      <c r="G84" s="5" t="str">
        <f>IF($C84="","",INDEX(PLAN_DESARROLLO!$E:$E,MATCH($C84,PLAN_DESARROLLO!$A:$A,0)))</f>
        <v>Realizar  obras  de mitigación del Riesgo</v>
      </c>
      <c r="H84" s="12">
        <v>1</v>
      </c>
      <c r="I84" s="12">
        <v>0</v>
      </c>
      <c r="J84" s="6">
        <f t="shared" si="5"/>
        <v>0</v>
      </c>
      <c r="K84" s="8">
        <v>0</v>
      </c>
      <c r="L84" s="8">
        <v>0</v>
      </c>
      <c r="M84" s="6">
        <f t="shared" si="6"/>
        <v>0</v>
      </c>
      <c r="N84" s="5" t="s">
        <v>554</v>
      </c>
      <c r="O84" s="5" t="s">
        <v>511</v>
      </c>
      <c r="P84" s="5" t="s">
        <v>495</v>
      </c>
      <c r="Q84" s="5" t="s">
        <v>504</v>
      </c>
      <c r="R84" s="5"/>
      <c r="S84" s="5"/>
      <c r="T84" s="10">
        <f t="shared" ca="1" si="7"/>
        <v>46059</v>
      </c>
      <c r="U84" s="5"/>
    </row>
    <row r="85" spans="1:21" ht="30" x14ac:dyDescent="0.25">
      <c r="A85" s="5" t="s">
        <v>498</v>
      </c>
      <c r="B85" s="5" t="s">
        <v>483</v>
      </c>
      <c r="C85" s="5" t="s">
        <v>373</v>
      </c>
      <c r="D85" s="5" t="str">
        <f>IF($C85="","",INDEX(PLAN_DESARROLLO!$B:$B,MATCH($C85,PLAN_DESARROLLO!$A:$A,0)))</f>
        <v>2024257770031</v>
      </c>
      <c r="E85" s="5" t="str">
        <f>IF($C85="","",INDEX(PLAN_DESARROLLO!$C:$C,MATCH($C85,PLAN_DESARROLLO!$A:$A,0)))</f>
        <v>POR EL SUPATÁ SOÑADO AVANZAMOS JUNTOS EN LA LÍNEA ESTRATÉGICA INSTITUCIONAL</v>
      </c>
      <c r="F85" s="5" t="str">
        <f>IF($C85="","",INDEX(PLAN_DESARROLLO!$D:$D,MATCH($C85,PLAN_DESARROLLO!$A:$A,0)))</f>
        <v>FORTALECIMIENTO INSTITUCIONAL</v>
      </c>
      <c r="G85" s="5" t="str">
        <f>IF($C85="","",INDEX(PLAN_DESARROLLO!$E:$E,MATCH($C85,PLAN_DESARROLLO!$A:$A,0)))</f>
        <v>Realizar  obras  de mitigación del Riesgo</v>
      </c>
      <c r="H85" s="12">
        <v>1</v>
      </c>
      <c r="I85" s="12">
        <v>0</v>
      </c>
      <c r="J85" s="6">
        <f t="shared" si="5"/>
        <v>0</v>
      </c>
      <c r="K85" s="8">
        <v>0</v>
      </c>
      <c r="L85" s="8">
        <v>0</v>
      </c>
      <c r="M85" s="6">
        <f t="shared" si="6"/>
        <v>0</v>
      </c>
      <c r="N85" s="5" t="s">
        <v>554</v>
      </c>
      <c r="O85" s="5" t="s">
        <v>511</v>
      </c>
      <c r="P85" s="5" t="s">
        <v>495</v>
      </c>
      <c r="Q85" s="5" t="s">
        <v>504</v>
      </c>
      <c r="R85" s="5"/>
      <c r="S85" s="5"/>
      <c r="T85" s="10">
        <f t="shared" ca="1" si="7"/>
        <v>46059</v>
      </c>
      <c r="U85" s="5"/>
    </row>
    <row r="86" spans="1:21" ht="30" x14ac:dyDescent="0.25">
      <c r="A86" s="5" t="s">
        <v>494</v>
      </c>
      <c r="B86" s="5" t="s">
        <v>483</v>
      </c>
      <c r="C86" s="5" t="s">
        <v>375</v>
      </c>
      <c r="D86" s="5" t="str">
        <f>IF($C86="","",INDEX(PLAN_DESARROLLO!$B:$B,MATCH($C86,PLAN_DESARROLLO!$A:$A,0)))</f>
        <v>2024257770031</v>
      </c>
      <c r="E86" s="5" t="str">
        <f>IF($C86="","",INDEX(PLAN_DESARROLLO!$C:$C,MATCH($C86,PLAN_DESARROLLO!$A:$A,0)))</f>
        <v>POR EL SUPATÁ SOÑADO AVANZAMOS JUNTOS EN LA LÍNEA ESTRATÉGICA INSTITUCIONAL</v>
      </c>
      <c r="F86" s="5" t="str">
        <f>IF($C86="","",INDEX(PLAN_DESARROLLO!$D:$D,MATCH($C86,PLAN_DESARROLLO!$A:$A,0)))</f>
        <v>FORTALECIMIENTO INSTITUCIONAL</v>
      </c>
      <c r="G86" s="5" t="str">
        <f>IF($C86="","",INDEX(PLAN_DESARROLLO!$E:$E,MATCH($C86,PLAN_DESARROLLO!$A:$A,0)))</f>
        <v>Realizar anualmente (1) asistencia tecnica de apoyo a los grupos de socorro</v>
      </c>
      <c r="H86" s="12">
        <v>1</v>
      </c>
      <c r="I86" s="12">
        <v>1</v>
      </c>
      <c r="J86" s="6">
        <f t="shared" si="5"/>
        <v>1</v>
      </c>
      <c r="K86" s="8">
        <v>0</v>
      </c>
      <c r="L86" s="8">
        <v>0</v>
      </c>
      <c r="M86" s="6">
        <f t="shared" si="6"/>
        <v>0</v>
      </c>
      <c r="N86" s="5" t="s">
        <v>558</v>
      </c>
      <c r="O86" s="5" t="s">
        <v>496</v>
      </c>
      <c r="P86" s="5" t="s">
        <v>502</v>
      </c>
      <c r="Q86" s="5" t="s">
        <v>504</v>
      </c>
      <c r="R86" s="5"/>
      <c r="S86" s="5"/>
      <c r="T86" s="10">
        <f t="shared" ca="1" si="7"/>
        <v>46059</v>
      </c>
      <c r="U86" s="5"/>
    </row>
    <row r="87" spans="1:21" ht="30" x14ac:dyDescent="0.25">
      <c r="A87" s="5" t="s">
        <v>498</v>
      </c>
      <c r="B87" s="5" t="s">
        <v>483</v>
      </c>
      <c r="C87" s="5" t="s">
        <v>375</v>
      </c>
      <c r="D87" s="5" t="str">
        <f>IF($C87="","",INDEX(PLAN_DESARROLLO!$B:$B,MATCH($C87,PLAN_DESARROLLO!$A:$A,0)))</f>
        <v>2024257770031</v>
      </c>
      <c r="E87" s="5" t="str">
        <f>IF($C87="","",INDEX(PLAN_DESARROLLO!$C:$C,MATCH($C87,PLAN_DESARROLLO!$A:$A,0)))</f>
        <v>POR EL SUPATÁ SOÑADO AVANZAMOS JUNTOS EN LA LÍNEA ESTRATÉGICA INSTITUCIONAL</v>
      </c>
      <c r="F87" s="5" t="str">
        <f>IF($C87="","",INDEX(PLAN_DESARROLLO!$D:$D,MATCH($C87,PLAN_DESARROLLO!$A:$A,0)))</f>
        <v>FORTALECIMIENTO INSTITUCIONAL</v>
      </c>
      <c r="G87" s="5" t="str">
        <f>IF($C87="","",INDEX(PLAN_DESARROLLO!$E:$E,MATCH($C87,PLAN_DESARROLLO!$A:$A,0)))</f>
        <v>Realizar anualmente (1) asistencia tecnica de apoyo a los grupos de socorro</v>
      </c>
      <c r="H87" s="12">
        <v>1</v>
      </c>
      <c r="I87" s="12">
        <v>1</v>
      </c>
      <c r="J87" s="6">
        <f t="shared" si="5"/>
        <v>1</v>
      </c>
      <c r="K87" s="8">
        <v>0</v>
      </c>
      <c r="L87" s="8">
        <v>0</v>
      </c>
      <c r="M87" s="6">
        <v>1</v>
      </c>
      <c r="N87" s="5" t="s">
        <v>558</v>
      </c>
      <c r="O87" s="5" t="s">
        <v>496</v>
      </c>
      <c r="P87" s="5" t="s">
        <v>502</v>
      </c>
      <c r="Q87" s="5" t="s">
        <v>504</v>
      </c>
      <c r="R87" s="5"/>
      <c r="S87" s="5"/>
      <c r="T87" s="10">
        <f t="shared" ca="1" si="7"/>
        <v>46059</v>
      </c>
      <c r="U87" s="5"/>
    </row>
    <row r="88" spans="1:21" ht="30" x14ac:dyDescent="0.25">
      <c r="A88" s="5" t="s">
        <v>494</v>
      </c>
      <c r="B88" s="5" t="s">
        <v>483</v>
      </c>
      <c r="C88" s="5" t="s">
        <v>377</v>
      </c>
      <c r="D88" s="5" t="str">
        <f>IF($C88="","",INDEX(PLAN_DESARROLLO!$B:$B,MATCH($C88,PLAN_DESARROLLO!$A:$A,0)))</f>
        <v>2024257770031</v>
      </c>
      <c r="E88" s="5" t="str">
        <f>IF($C88="","",INDEX(PLAN_DESARROLLO!$C:$C,MATCH($C88,PLAN_DESARROLLO!$A:$A,0)))</f>
        <v>POR EL SUPATÁ SOÑADO AVANZAMOS JUNTOS EN LA LÍNEA ESTRATÉGICA INSTITUCIONAL</v>
      </c>
      <c r="F88" s="5" t="str">
        <f>IF($C88="","",INDEX(PLAN_DESARROLLO!$D:$D,MATCH($C88,PLAN_DESARROLLO!$A:$A,0)))</f>
        <v>FORTALECIMIENTO INSTITUCIONAL</v>
      </c>
      <c r="G88" s="5" t="str">
        <f>IF($C88="","",INDEX(PLAN_DESARROLLO!$E:$E,MATCH($C88,PLAN_DESARROLLO!$A:$A,0)))</f>
        <v>Actualizar el plan de gestión del riesgo de desastres y estrategia para la respuesta a emergencias</v>
      </c>
      <c r="H88" s="12">
        <v>1</v>
      </c>
      <c r="I88" s="12">
        <v>0</v>
      </c>
      <c r="J88" s="6">
        <f t="shared" si="5"/>
        <v>0</v>
      </c>
      <c r="K88" s="8">
        <v>0</v>
      </c>
      <c r="L88" s="8">
        <v>0</v>
      </c>
      <c r="M88" s="6">
        <f t="shared" si="6"/>
        <v>0</v>
      </c>
      <c r="N88" s="5" t="s">
        <v>559</v>
      </c>
      <c r="O88" s="5" t="s">
        <v>507</v>
      </c>
      <c r="P88" s="5" t="s">
        <v>495</v>
      </c>
      <c r="Q88" s="5" t="s">
        <v>504</v>
      </c>
      <c r="R88" s="5"/>
      <c r="S88" s="5"/>
      <c r="T88" s="10">
        <f t="shared" ca="1" si="7"/>
        <v>46059</v>
      </c>
      <c r="U88" s="5"/>
    </row>
    <row r="89" spans="1:21" ht="30" x14ac:dyDescent="0.25">
      <c r="A89" s="5" t="s">
        <v>498</v>
      </c>
      <c r="B89" s="5" t="s">
        <v>483</v>
      </c>
      <c r="C89" s="5" t="s">
        <v>377</v>
      </c>
      <c r="D89" s="5" t="str">
        <f>IF($C89="","",INDEX(PLAN_DESARROLLO!$B:$B,MATCH($C89,PLAN_DESARROLLO!$A:$A,0)))</f>
        <v>2024257770031</v>
      </c>
      <c r="E89" s="5" t="str">
        <f>IF($C89="","",INDEX(PLAN_DESARROLLO!$C:$C,MATCH($C89,PLAN_DESARROLLO!$A:$A,0)))</f>
        <v>POR EL SUPATÁ SOÑADO AVANZAMOS JUNTOS EN LA LÍNEA ESTRATÉGICA INSTITUCIONAL</v>
      </c>
      <c r="F89" s="5" t="str">
        <f>IF($C89="","",INDEX(PLAN_DESARROLLO!$D:$D,MATCH($C89,PLAN_DESARROLLO!$A:$A,0)))</f>
        <v>FORTALECIMIENTO INSTITUCIONAL</v>
      </c>
      <c r="G89" s="5" t="str">
        <f>IF($C89="","",INDEX(PLAN_DESARROLLO!$E:$E,MATCH($C89,PLAN_DESARROLLO!$A:$A,0)))</f>
        <v>Actualizar el plan de gestión del riesgo de desastres y estrategia para la respuesta a emergencias</v>
      </c>
      <c r="H89" s="12">
        <v>1</v>
      </c>
      <c r="I89" s="12">
        <v>0</v>
      </c>
      <c r="J89" s="6">
        <f t="shared" si="5"/>
        <v>0</v>
      </c>
      <c r="K89" s="8">
        <v>0</v>
      </c>
      <c r="L89" s="8">
        <v>0</v>
      </c>
      <c r="M89" s="6">
        <f t="shared" si="6"/>
        <v>0</v>
      </c>
      <c r="N89" s="5" t="s">
        <v>559</v>
      </c>
      <c r="O89" s="5" t="s">
        <v>507</v>
      </c>
      <c r="P89" s="5" t="s">
        <v>495</v>
      </c>
      <c r="Q89" s="5" t="s">
        <v>504</v>
      </c>
      <c r="R89" s="5"/>
      <c r="S89" s="5"/>
      <c r="T89" s="10">
        <f t="shared" ca="1" si="7"/>
        <v>46059</v>
      </c>
      <c r="U89" s="5"/>
    </row>
    <row r="90" spans="1:21" ht="30" x14ac:dyDescent="0.25">
      <c r="A90" s="5" t="s">
        <v>494</v>
      </c>
      <c r="B90" s="5" t="s">
        <v>483</v>
      </c>
      <c r="C90" s="5" t="s">
        <v>379</v>
      </c>
      <c r="D90" s="5" t="str">
        <f>IF($C90="","",INDEX(PLAN_DESARROLLO!$B:$B,MATCH($C90,PLAN_DESARROLLO!$A:$A,0)))</f>
        <v>2024257770031</v>
      </c>
      <c r="E90" s="5" t="str">
        <f>IF($C90="","",INDEX(PLAN_DESARROLLO!$C:$C,MATCH($C90,PLAN_DESARROLLO!$A:$A,0)))</f>
        <v>POR EL SUPATÁ SOÑADO AVANZAMOS JUNTOS EN LA LÍNEA ESTRATÉGICA INSTITUCIONAL</v>
      </c>
      <c r="F90" s="5" t="str">
        <f>IF($C90="","",INDEX(PLAN_DESARROLLO!$D:$D,MATCH($C90,PLAN_DESARROLLO!$A:$A,0)))</f>
        <v>FORTALECIMIENTO INSTITUCIONAL</v>
      </c>
      <c r="G90" s="5" t="str">
        <f>IF($C90="","",INDEX(PLAN_DESARROLLO!$E:$E,MATCH($C90,PLAN_DESARROLLO!$A:$A,0)))</f>
        <v>Capacitar a 20 lideres comunitarios en tema de atención y prevención de Gestión del Riesgo</v>
      </c>
      <c r="H90" s="12">
        <v>20</v>
      </c>
      <c r="I90" s="12">
        <v>10</v>
      </c>
      <c r="J90" s="6">
        <f t="shared" si="5"/>
        <v>0.5</v>
      </c>
      <c r="K90" s="8">
        <v>0</v>
      </c>
      <c r="L90" s="8">
        <v>0</v>
      </c>
      <c r="M90" s="6">
        <f t="shared" si="6"/>
        <v>0</v>
      </c>
      <c r="N90" s="5" t="str">
        <f>N86</f>
        <v>en conjunto con el convenio del cuerpo de bomberos de san francisoc se brindan capacitaciones</v>
      </c>
      <c r="O90" s="5" t="s">
        <v>496</v>
      </c>
      <c r="P90" s="5" t="s">
        <v>499</v>
      </c>
      <c r="Q90" s="5" t="s">
        <v>504</v>
      </c>
      <c r="R90" s="5"/>
      <c r="S90" s="5"/>
      <c r="T90" s="10">
        <f t="shared" ca="1" si="7"/>
        <v>46059</v>
      </c>
      <c r="U90" s="5"/>
    </row>
    <row r="91" spans="1:21" ht="30" x14ac:dyDescent="0.25">
      <c r="A91" s="5" t="s">
        <v>498</v>
      </c>
      <c r="B91" s="5" t="s">
        <v>483</v>
      </c>
      <c r="C91" s="5" t="s">
        <v>379</v>
      </c>
      <c r="D91" s="5" t="str">
        <f>IF($C91="","",INDEX(PLAN_DESARROLLO!$B:$B,MATCH($C91,PLAN_DESARROLLO!$A:$A,0)))</f>
        <v>2024257770031</v>
      </c>
      <c r="E91" s="5" t="str">
        <f>IF($C91="","",INDEX(PLAN_DESARROLLO!$C:$C,MATCH($C91,PLAN_DESARROLLO!$A:$A,0)))</f>
        <v>POR EL SUPATÁ SOÑADO AVANZAMOS JUNTOS EN LA LÍNEA ESTRATÉGICA INSTITUCIONAL</v>
      </c>
      <c r="F91" s="5" t="str">
        <f>IF($C91="","",INDEX(PLAN_DESARROLLO!$D:$D,MATCH($C91,PLAN_DESARROLLO!$A:$A,0)))</f>
        <v>FORTALECIMIENTO INSTITUCIONAL</v>
      </c>
      <c r="G91" s="5" t="str">
        <f>IF($C91="","",INDEX(PLAN_DESARROLLO!$E:$E,MATCH($C91,PLAN_DESARROLLO!$A:$A,0)))</f>
        <v>Capacitar a 20 lideres comunitarios en tema de atención y prevención de Gestión del Riesgo</v>
      </c>
      <c r="H91" s="12">
        <v>20</v>
      </c>
      <c r="I91" s="12">
        <v>10</v>
      </c>
      <c r="J91" s="6">
        <f t="shared" si="5"/>
        <v>0.5</v>
      </c>
      <c r="K91" s="8">
        <v>0</v>
      </c>
      <c r="L91" s="8">
        <v>0</v>
      </c>
      <c r="M91" s="6">
        <f t="shared" si="6"/>
        <v>0</v>
      </c>
      <c r="N91" s="5" t="str">
        <f>N87</f>
        <v>en conjunto con el convenio del cuerpo de bomberos de san francisoc se brindan capacitaciones</v>
      </c>
      <c r="O91" s="5" t="s">
        <v>496</v>
      </c>
      <c r="P91" s="5" t="s">
        <v>499</v>
      </c>
      <c r="Q91" s="5" t="s">
        <v>504</v>
      </c>
      <c r="R91" s="5"/>
      <c r="S91" s="5"/>
      <c r="T91" s="10">
        <f t="shared" ca="1" si="7"/>
        <v>46059</v>
      </c>
      <c r="U91" s="5"/>
    </row>
    <row r="92" spans="1:21" ht="30" x14ac:dyDescent="0.25">
      <c r="A92" s="5" t="s">
        <v>494</v>
      </c>
      <c r="B92" s="5" t="s">
        <v>483</v>
      </c>
      <c r="C92" s="5" t="s">
        <v>381</v>
      </c>
      <c r="D92" s="5" t="str">
        <f>IF($C92="","",INDEX(PLAN_DESARROLLO!$B:$B,MATCH($C92,PLAN_DESARROLLO!$A:$A,0)))</f>
        <v>2024257770031</v>
      </c>
      <c r="E92" s="5" t="str">
        <f>IF($C92="","",INDEX(PLAN_DESARROLLO!$C:$C,MATCH($C92,PLAN_DESARROLLO!$A:$A,0)))</f>
        <v>POR EL SUPATÁ SOÑADO AVANZAMOS JUNTOS EN LA LÍNEA ESTRATÉGICA INSTITUCIONAL</v>
      </c>
      <c r="F92" s="5" t="str">
        <f>IF($C92="","",INDEX(PLAN_DESARROLLO!$D:$D,MATCH($C92,PLAN_DESARROLLO!$A:$A,0)))</f>
        <v>FORTALECIMIENTO INSTITUCIONAL</v>
      </c>
      <c r="G92" s="5" t="str">
        <f>IF($C92="","",INDEX(PLAN_DESARROLLO!$E:$E,MATCH($C92,PLAN_DESARROLLO!$A:$A,0)))</f>
        <v>Realizar (4) simulacros de evacuación</v>
      </c>
      <c r="H92" s="12">
        <v>4</v>
      </c>
      <c r="I92" s="12">
        <v>2</v>
      </c>
      <c r="J92" s="6">
        <f t="shared" si="5"/>
        <v>0.5</v>
      </c>
      <c r="K92" s="8">
        <v>0</v>
      </c>
      <c r="L92" s="8">
        <v>0</v>
      </c>
      <c r="M92" s="6">
        <f t="shared" si="6"/>
        <v>0</v>
      </c>
      <c r="N92" s="5" t="s">
        <v>560</v>
      </c>
      <c r="O92" s="5" t="s">
        <v>496</v>
      </c>
      <c r="P92" s="5" t="s">
        <v>499</v>
      </c>
      <c r="Q92" s="5" t="s">
        <v>504</v>
      </c>
      <c r="R92" s="5"/>
      <c r="S92" s="5"/>
      <c r="T92" s="10">
        <f t="shared" ca="1" si="7"/>
        <v>46059</v>
      </c>
      <c r="U92" s="5"/>
    </row>
    <row r="93" spans="1:21" ht="30" x14ac:dyDescent="0.25">
      <c r="A93" s="5" t="s">
        <v>498</v>
      </c>
      <c r="B93" s="5" t="s">
        <v>483</v>
      </c>
      <c r="C93" s="5" t="s">
        <v>381</v>
      </c>
      <c r="D93" s="5" t="str">
        <f>IF($C93="","",INDEX(PLAN_DESARROLLO!$B:$B,MATCH($C93,PLAN_DESARROLLO!$A:$A,0)))</f>
        <v>2024257770031</v>
      </c>
      <c r="E93" s="5" t="str">
        <f>IF($C93="","",INDEX(PLAN_DESARROLLO!$C:$C,MATCH($C93,PLAN_DESARROLLO!$A:$A,0)))</f>
        <v>POR EL SUPATÁ SOÑADO AVANZAMOS JUNTOS EN LA LÍNEA ESTRATÉGICA INSTITUCIONAL</v>
      </c>
      <c r="F93" s="5" t="str">
        <f>IF($C93="","",INDEX(PLAN_DESARROLLO!$D:$D,MATCH($C93,PLAN_DESARROLLO!$A:$A,0)))</f>
        <v>FORTALECIMIENTO INSTITUCIONAL</v>
      </c>
      <c r="G93" s="5" t="str">
        <f>IF($C93="","",INDEX(PLAN_DESARROLLO!$E:$E,MATCH($C93,PLAN_DESARROLLO!$A:$A,0)))</f>
        <v>Realizar (4) simulacros de evacuación</v>
      </c>
      <c r="H93" s="12">
        <v>4</v>
      </c>
      <c r="I93" s="12">
        <v>2</v>
      </c>
      <c r="J93" s="6">
        <f t="shared" si="5"/>
        <v>0.5</v>
      </c>
      <c r="K93" s="8">
        <v>0</v>
      </c>
      <c r="L93" s="8">
        <v>0</v>
      </c>
      <c r="M93" s="6">
        <f t="shared" si="6"/>
        <v>0</v>
      </c>
      <c r="N93" s="5" t="s">
        <v>560</v>
      </c>
      <c r="O93" s="5" t="s">
        <v>496</v>
      </c>
      <c r="P93" s="5" t="s">
        <v>499</v>
      </c>
      <c r="Q93" s="5" t="s">
        <v>504</v>
      </c>
      <c r="R93" s="5"/>
      <c r="S93" s="5"/>
      <c r="T93" s="10">
        <f t="shared" ca="1" si="7"/>
        <v>46059</v>
      </c>
      <c r="U93" s="5"/>
    </row>
    <row r="94" spans="1:21" ht="30" x14ac:dyDescent="0.25">
      <c r="A94" s="5" t="s">
        <v>494</v>
      </c>
      <c r="B94" s="5" t="s">
        <v>483</v>
      </c>
      <c r="C94" s="5" t="s">
        <v>383</v>
      </c>
      <c r="D94" s="5" t="str">
        <f>IF($C94="","",INDEX(PLAN_DESARROLLO!$B:$B,MATCH($C94,PLAN_DESARROLLO!$A:$A,0)))</f>
        <v>2024257770031</v>
      </c>
      <c r="E94" s="5" t="str">
        <f>IF($C94="","",INDEX(PLAN_DESARROLLO!$C:$C,MATCH($C94,PLAN_DESARROLLO!$A:$A,0)))</f>
        <v>POR EL SUPATÁ SOÑADO AVANZAMOS JUNTOS EN LA LÍNEA ESTRATÉGICA INSTITUCIONAL</v>
      </c>
      <c r="F94" s="5" t="str">
        <f>IF($C94="","",INDEX(PLAN_DESARROLLO!$D:$D,MATCH($C94,PLAN_DESARROLLO!$A:$A,0)))</f>
        <v>FORTALECIMIENTO INSTITUCIONAL</v>
      </c>
      <c r="G94" s="5" t="str">
        <f>IF($C94="","",INDEX(PLAN_DESARROLLO!$E:$E,MATCH($C94,PLAN_DESARROLLO!$A:$A,0)))</f>
        <v>Implementar un programa anual  para la  ayuda humanitaria y la atención de la población afectada por desastres y emergencias sanitarias</v>
      </c>
      <c r="H94" s="12">
        <v>1</v>
      </c>
      <c r="I94" s="12">
        <v>0</v>
      </c>
      <c r="J94" s="6">
        <f t="shared" si="5"/>
        <v>0</v>
      </c>
      <c r="K94" s="8">
        <v>0</v>
      </c>
      <c r="L94" s="8">
        <v>0</v>
      </c>
      <c r="M94" s="6">
        <f t="shared" si="6"/>
        <v>0</v>
      </c>
      <c r="N94" s="5" t="s">
        <v>561</v>
      </c>
      <c r="O94" s="5" t="s">
        <v>496</v>
      </c>
      <c r="P94" s="5" t="s">
        <v>495</v>
      </c>
      <c r="Q94" s="5" t="s">
        <v>504</v>
      </c>
      <c r="R94" s="5"/>
      <c r="S94" s="5"/>
      <c r="T94" s="10">
        <f t="shared" ca="1" si="7"/>
        <v>46059</v>
      </c>
      <c r="U94" s="5"/>
    </row>
    <row r="95" spans="1:21" ht="30" x14ac:dyDescent="0.25">
      <c r="A95" s="5" t="s">
        <v>498</v>
      </c>
      <c r="B95" s="5" t="s">
        <v>483</v>
      </c>
      <c r="C95" s="5" t="s">
        <v>383</v>
      </c>
      <c r="D95" s="5" t="str">
        <f>IF($C95="","",INDEX(PLAN_DESARROLLO!$B:$B,MATCH($C95,PLAN_DESARROLLO!$A:$A,0)))</f>
        <v>2024257770031</v>
      </c>
      <c r="E95" s="5" t="str">
        <f>IF($C95="","",INDEX(PLAN_DESARROLLO!$C:$C,MATCH($C95,PLAN_DESARROLLO!$A:$A,0)))</f>
        <v>POR EL SUPATÁ SOÑADO AVANZAMOS JUNTOS EN LA LÍNEA ESTRATÉGICA INSTITUCIONAL</v>
      </c>
      <c r="F95" s="5" t="str">
        <f>IF($C95="","",INDEX(PLAN_DESARROLLO!$D:$D,MATCH($C95,PLAN_DESARROLLO!$A:$A,0)))</f>
        <v>FORTALECIMIENTO INSTITUCIONAL</v>
      </c>
      <c r="G95" s="5" t="str">
        <f>IF($C95="","",INDEX(PLAN_DESARROLLO!$E:$E,MATCH($C95,PLAN_DESARROLLO!$A:$A,0)))</f>
        <v>Implementar un programa anual  para la  ayuda humanitaria y la atención de la población afectada por desastres y emergencias sanitarias</v>
      </c>
      <c r="H95" s="12">
        <v>1</v>
      </c>
      <c r="I95" s="12">
        <v>0</v>
      </c>
      <c r="J95" s="6">
        <f t="shared" si="5"/>
        <v>0</v>
      </c>
      <c r="K95" s="8">
        <v>0</v>
      </c>
      <c r="L95" s="8">
        <v>0</v>
      </c>
      <c r="M95" s="6">
        <f t="shared" si="6"/>
        <v>0</v>
      </c>
      <c r="N95" s="5" t="s">
        <v>561</v>
      </c>
      <c r="O95" s="5" t="s">
        <v>496</v>
      </c>
      <c r="P95" s="5" t="s">
        <v>495</v>
      </c>
      <c r="Q95" s="5" t="s">
        <v>504</v>
      </c>
      <c r="R95" s="5"/>
      <c r="S95" s="5"/>
      <c r="T95" s="10">
        <f t="shared" ca="1" si="7"/>
        <v>46059</v>
      </c>
      <c r="U95" s="5"/>
    </row>
    <row r="96" spans="1:21" ht="30" x14ac:dyDescent="0.25">
      <c r="A96" s="5" t="s">
        <v>494</v>
      </c>
      <c r="B96" s="5" t="s">
        <v>483</v>
      </c>
      <c r="C96" s="5" t="s">
        <v>385</v>
      </c>
      <c r="D96" s="5" t="str">
        <f>IF($C96="","",INDEX(PLAN_DESARROLLO!$B:$B,MATCH($C96,PLAN_DESARROLLO!$A:$A,0)))</f>
        <v>2024257770031</v>
      </c>
      <c r="E96" s="5" t="str">
        <f>IF($C96="","",INDEX(PLAN_DESARROLLO!$C:$C,MATCH($C96,PLAN_DESARROLLO!$A:$A,0)))</f>
        <v>POR EL SUPATÁ SOÑADO AVANZAMOS JUNTOS EN LA LÍNEA ESTRATÉGICA INSTITUCIONAL</v>
      </c>
      <c r="F96" s="5" t="str">
        <f>IF($C96="","",INDEX(PLAN_DESARROLLO!$D:$D,MATCH($C96,PLAN_DESARROLLO!$A:$A,0)))</f>
        <v>FORTALECIMIENTO INSTITUCIONAL</v>
      </c>
      <c r="G96" s="5" t="str">
        <f>IF($C96="","",INDEX(PLAN_DESARROLLO!$E:$E,MATCH($C96,PLAN_DESARROLLO!$A:$A,0)))</f>
        <v>Realizar ( 4) capacitaciones del comité Local de Atención y Prevención de Desastres en atención y prevención del riesgo</v>
      </c>
      <c r="H96" s="12">
        <v>4</v>
      </c>
      <c r="I96" s="12">
        <v>2</v>
      </c>
      <c r="J96" s="6">
        <f t="shared" si="5"/>
        <v>0.5</v>
      </c>
      <c r="K96" s="8">
        <v>0</v>
      </c>
      <c r="L96" s="8">
        <v>0</v>
      </c>
      <c r="M96" s="6">
        <f t="shared" si="6"/>
        <v>0</v>
      </c>
      <c r="N96" s="5" t="str">
        <f>N90</f>
        <v>en conjunto con el convenio del cuerpo de bomberos de san francisoc se brindan capacitaciones</v>
      </c>
      <c r="O96" s="5" t="s">
        <v>496</v>
      </c>
      <c r="P96" s="5" t="s">
        <v>499</v>
      </c>
      <c r="Q96" s="5" t="s">
        <v>504</v>
      </c>
      <c r="R96" s="5"/>
      <c r="S96" s="5"/>
      <c r="T96" s="10">
        <f t="shared" ca="1" si="7"/>
        <v>46059</v>
      </c>
      <c r="U96" s="5"/>
    </row>
    <row r="97" spans="1:21" ht="30" x14ac:dyDescent="0.25">
      <c r="A97" s="5" t="s">
        <v>498</v>
      </c>
      <c r="B97" s="5" t="s">
        <v>483</v>
      </c>
      <c r="C97" s="5" t="s">
        <v>385</v>
      </c>
      <c r="D97" s="5" t="str">
        <f>IF($C97="","",INDEX(PLAN_DESARROLLO!$B:$B,MATCH($C97,PLAN_DESARROLLO!$A:$A,0)))</f>
        <v>2024257770031</v>
      </c>
      <c r="E97" s="5" t="str">
        <f>IF($C97="","",INDEX(PLAN_DESARROLLO!$C:$C,MATCH($C97,PLAN_DESARROLLO!$A:$A,0)))</f>
        <v>POR EL SUPATÁ SOÑADO AVANZAMOS JUNTOS EN LA LÍNEA ESTRATÉGICA INSTITUCIONAL</v>
      </c>
      <c r="F97" s="5" t="str">
        <f>IF($C97="","",INDEX(PLAN_DESARROLLO!$D:$D,MATCH($C97,PLAN_DESARROLLO!$A:$A,0)))</f>
        <v>FORTALECIMIENTO INSTITUCIONAL</v>
      </c>
      <c r="G97" s="5" t="str">
        <f>IF($C97="","",INDEX(PLAN_DESARROLLO!$E:$E,MATCH($C97,PLAN_DESARROLLO!$A:$A,0)))</f>
        <v>Realizar ( 4) capacitaciones del comité Local de Atención y Prevención de Desastres en atención y prevención del riesgo</v>
      </c>
      <c r="H97" s="12">
        <v>4</v>
      </c>
      <c r="I97" s="12">
        <v>2</v>
      </c>
      <c r="J97" s="6">
        <f t="shared" si="5"/>
        <v>0.5</v>
      </c>
      <c r="K97" s="8">
        <v>0</v>
      </c>
      <c r="L97" s="8">
        <v>0</v>
      </c>
      <c r="M97" s="6">
        <f t="shared" si="6"/>
        <v>0</v>
      </c>
      <c r="N97" s="5" t="str">
        <f>N91</f>
        <v>en conjunto con el convenio del cuerpo de bomberos de san francisoc se brindan capacitaciones</v>
      </c>
      <c r="O97" s="5" t="s">
        <v>496</v>
      </c>
      <c r="P97" s="5" t="s">
        <v>499</v>
      </c>
      <c r="Q97" s="5" t="s">
        <v>504</v>
      </c>
      <c r="R97" s="5"/>
      <c r="S97" s="5"/>
      <c r="T97" s="10">
        <f t="shared" ca="1" si="7"/>
        <v>46059</v>
      </c>
      <c r="U97" s="5"/>
    </row>
    <row r="98" spans="1:21" ht="45" x14ac:dyDescent="0.25">
      <c r="A98" s="5" t="s">
        <v>494</v>
      </c>
      <c r="B98" s="5" t="s">
        <v>483</v>
      </c>
      <c r="C98" s="5" t="s">
        <v>393</v>
      </c>
      <c r="D98" s="5" t="str">
        <f>IF($C98="","",INDEX(PLAN_DESARROLLO!$B:$B,MATCH($C98,PLAN_DESARROLLO!$A:$A,0)))</f>
        <v>2024257770032</v>
      </c>
      <c r="E98" s="5" t="str">
        <f>IF($C98="","",INDEX(PLAN_DESARROLLO!$C:$C,MATCH($C98,PLAN_DESARROLLO!$A:$A,0)))</f>
        <v>POR EL SUPATÁ SOÑADO AVANZAMOS JUNTOS EN LA LÍNEA ESTRATÉGICA INSTITUCIONAL</v>
      </c>
      <c r="F98" s="5" t="str">
        <f>IF($C98="","",INDEX(PLAN_DESARROLLO!$D:$D,MATCH($C98,PLAN_DESARROLLO!$A:$A,0)))</f>
        <v>DESARROLLO COMUNITARIO</v>
      </c>
      <c r="G98" s="5" t="str">
        <f>IF($C98="","",INDEX(PLAN_DESARROLLO!$E:$E,MATCH($C98,PLAN_DESARROLLO!$A:$A,0)))</f>
        <v>Realizar 4 rendiciones de cuentas sobre la gestión de la administración municipal.</v>
      </c>
      <c r="H98" s="12">
        <v>4</v>
      </c>
      <c r="I98" s="12">
        <v>2</v>
      </c>
      <c r="J98" s="6">
        <f t="shared" si="5"/>
        <v>0.5</v>
      </c>
      <c r="K98" s="8">
        <v>0</v>
      </c>
      <c r="L98" s="8">
        <v>0</v>
      </c>
      <c r="M98" s="6">
        <f t="shared" si="6"/>
        <v>0</v>
      </c>
      <c r="N98" s="5" t="s">
        <v>562</v>
      </c>
      <c r="O98" s="5" t="s">
        <v>496</v>
      </c>
      <c r="P98" s="5" t="s">
        <v>499</v>
      </c>
      <c r="Q98" s="5" t="s">
        <v>504</v>
      </c>
      <c r="R98" s="5"/>
      <c r="S98" s="5"/>
      <c r="T98" s="10">
        <f t="shared" ca="1" si="7"/>
        <v>46059</v>
      </c>
      <c r="U98" s="5"/>
    </row>
    <row r="99" spans="1:21" ht="45" x14ac:dyDescent="0.25">
      <c r="A99" s="5" t="s">
        <v>498</v>
      </c>
      <c r="B99" s="5" t="s">
        <v>483</v>
      </c>
      <c r="C99" s="5" t="s">
        <v>393</v>
      </c>
      <c r="D99" s="5" t="str">
        <f>IF($C99="","",INDEX(PLAN_DESARROLLO!$B:$B,MATCH($C99,PLAN_DESARROLLO!$A:$A,0)))</f>
        <v>2024257770032</v>
      </c>
      <c r="E99" s="5" t="str">
        <f>IF($C99="","",INDEX(PLAN_DESARROLLO!$C:$C,MATCH($C99,PLAN_DESARROLLO!$A:$A,0)))</f>
        <v>POR EL SUPATÁ SOÑADO AVANZAMOS JUNTOS EN LA LÍNEA ESTRATÉGICA INSTITUCIONAL</v>
      </c>
      <c r="F99" s="5" t="str">
        <f>IF($C99="","",INDEX(PLAN_DESARROLLO!$D:$D,MATCH($C99,PLAN_DESARROLLO!$A:$A,0)))</f>
        <v>DESARROLLO COMUNITARIO</v>
      </c>
      <c r="G99" s="5" t="str">
        <f>IF($C99="","",INDEX(PLAN_DESARROLLO!$E:$E,MATCH($C99,PLAN_DESARROLLO!$A:$A,0)))</f>
        <v>Realizar 4 rendiciones de cuentas sobre la gestión de la administración municipal.</v>
      </c>
      <c r="H99" s="12">
        <v>4</v>
      </c>
      <c r="I99" s="12">
        <v>4</v>
      </c>
      <c r="J99" s="6">
        <f t="shared" si="5"/>
        <v>1</v>
      </c>
      <c r="K99" s="8">
        <v>0</v>
      </c>
      <c r="L99" s="8">
        <v>0</v>
      </c>
      <c r="M99" s="6">
        <f t="shared" si="6"/>
        <v>0</v>
      </c>
      <c r="N99" s="5" t="s">
        <v>562</v>
      </c>
      <c r="O99" s="5" t="s">
        <v>496</v>
      </c>
      <c r="P99" s="5" t="s">
        <v>499</v>
      </c>
      <c r="Q99" s="5" t="s">
        <v>504</v>
      </c>
      <c r="R99" s="5"/>
      <c r="S99" s="5"/>
      <c r="T99" s="10">
        <f t="shared" ca="1" si="7"/>
        <v>46059</v>
      </c>
      <c r="U99" s="5"/>
    </row>
    <row r="100" spans="1:21" ht="30" x14ac:dyDescent="0.25">
      <c r="A100" s="5" t="s">
        <v>494</v>
      </c>
      <c r="B100" s="5" t="s">
        <v>483</v>
      </c>
      <c r="C100" s="5" t="s">
        <v>428</v>
      </c>
      <c r="D100" s="5" t="str">
        <f>IF($C100="","",INDEX(PLAN_DESARROLLO!$B:$B,MATCH($C100,PLAN_DESARROLLO!$A:$A,0)))</f>
        <v>2024257770038</v>
      </c>
      <c r="E100" s="5" t="str">
        <f>IF($C100="","",INDEX(PLAN_DESARROLLO!$C:$C,MATCH($C100,PLAN_DESARROLLO!$A:$A,0)))</f>
        <v>POR EL SUPATÁ SOÑADO AVANZAMOS JUNTOS EN LA LÍNEA ESTRATÉGICA AMBIENTAL</v>
      </c>
      <c r="F100" s="5" t="str">
        <f>IF($C100="","",INDEX(PLAN_DESARROLLO!$D:$D,MATCH($C100,PLAN_DESARROLLO!$A:$A,0)))</f>
        <v>SERVICIOS DIFERENTES APSB</v>
      </c>
      <c r="G100" s="5" t="str">
        <f>IF($C100="","",INDEX(PLAN_DESARROLLO!$E:$E,MATCH($C100,PLAN_DESARROLLO!$A:$A,0)))</f>
        <v>Realizar la ampliación del sistema de alumbrado publico</v>
      </c>
      <c r="H100" s="12">
        <v>1</v>
      </c>
      <c r="I100" s="12">
        <v>0</v>
      </c>
      <c r="J100" s="6">
        <f t="shared" si="5"/>
        <v>0</v>
      </c>
      <c r="K100" s="8">
        <v>0</v>
      </c>
      <c r="L100" s="8">
        <v>0</v>
      </c>
      <c r="M100" s="6">
        <f t="shared" si="6"/>
        <v>0</v>
      </c>
      <c r="N100" s="5"/>
      <c r="O100" s="5"/>
      <c r="P100" s="5"/>
      <c r="Q100" s="5"/>
      <c r="R100" s="5"/>
      <c r="S100" s="5"/>
      <c r="T100" s="10">
        <f t="shared" ca="1" si="7"/>
        <v>46059</v>
      </c>
      <c r="U100" s="5"/>
    </row>
    <row r="101" spans="1:21" ht="45" x14ac:dyDescent="0.25">
      <c r="A101" s="5" t="s">
        <v>498</v>
      </c>
      <c r="B101" s="5" t="s">
        <v>483</v>
      </c>
      <c r="C101" s="5" t="s">
        <v>428</v>
      </c>
      <c r="D101" s="5" t="str">
        <f>IF($C101="","",INDEX(PLAN_DESARROLLO!$B:$B,MATCH($C101,PLAN_DESARROLLO!$A:$A,0)))</f>
        <v>2024257770038</v>
      </c>
      <c r="E101" s="5" t="str">
        <f>IF($C101="","",INDEX(PLAN_DESARROLLO!$C:$C,MATCH($C101,PLAN_DESARROLLO!$A:$A,0)))</f>
        <v>POR EL SUPATÁ SOÑADO AVANZAMOS JUNTOS EN LA LÍNEA ESTRATÉGICA AMBIENTAL</v>
      </c>
      <c r="F101" s="5" t="str">
        <f>IF($C101="","",INDEX(PLAN_DESARROLLO!$D:$D,MATCH($C101,PLAN_DESARROLLO!$A:$A,0)))</f>
        <v>SERVICIOS DIFERENTES APSB</v>
      </c>
      <c r="G101" s="5" t="str">
        <f>IF($C101="","",INDEX(PLAN_DESARROLLO!$E:$E,MATCH($C101,PLAN_DESARROLLO!$A:$A,0)))</f>
        <v>Realizar la ampliación del sistema de alumbrado publico</v>
      </c>
      <c r="H101" s="12">
        <v>1</v>
      </c>
      <c r="I101" s="12">
        <v>1</v>
      </c>
      <c r="J101" s="6">
        <f t="shared" si="5"/>
        <v>1</v>
      </c>
      <c r="K101" s="8">
        <v>24084074</v>
      </c>
      <c r="L101" s="8">
        <v>24084074</v>
      </c>
      <c r="M101" s="6">
        <f t="shared" si="6"/>
        <v>1</v>
      </c>
      <c r="N101" s="5" t="s">
        <v>589</v>
      </c>
      <c r="O101" s="5" t="s">
        <v>594</v>
      </c>
      <c r="P101" s="5" t="s">
        <v>502</v>
      </c>
      <c r="Q101" s="5" t="s">
        <v>504</v>
      </c>
      <c r="R101" s="5"/>
      <c r="S101" s="5"/>
      <c r="T101" s="10">
        <f t="shared" ca="1" si="7"/>
        <v>46059</v>
      </c>
      <c r="U101" s="5"/>
    </row>
    <row r="102" spans="1:21" ht="45" x14ac:dyDescent="0.25">
      <c r="A102" s="5" t="s">
        <v>494</v>
      </c>
      <c r="B102" s="5" t="s">
        <v>483</v>
      </c>
      <c r="C102" s="5" t="s">
        <v>433</v>
      </c>
      <c r="D102" s="5" t="str">
        <f>IF($C102="","",INDEX(PLAN_DESARROLLO!$B:$B,MATCH($C102,PLAN_DESARROLLO!$A:$A,0)))</f>
        <v>2024257770038</v>
      </c>
      <c r="E102" s="5" t="str">
        <f>IF($C102="","",INDEX(PLAN_DESARROLLO!$C:$C,MATCH($C102,PLAN_DESARROLLO!$A:$A,0)))</f>
        <v>POR EL SUPATÁ SOÑADO AVANZAMOS JUNTOS EN LA LÍNEA ESTRATÉGICA AMBIENTAL</v>
      </c>
      <c r="F102" s="5" t="str">
        <f>IF($C102="","",INDEX(PLAN_DESARROLLO!$D:$D,MATCH($C102,PLAN_DESARROLLO!$A:$A,0)))</f>
        <v>SERVICIOS DIFERENTES APSB</v>
      </c>
      <c r="G102" s="5" t="str">
        <f>IF($C102="","",INDEX(PLAN_DESARROLLO!$E:$E,MATCH($C102,PLAN_DESARROLLO!$A:$A,0)))</f>
        <v>Garantizar el optimo funcionamiento del sistema de alummbrado público</v>
      </c>
      <c r="H102" s="12">
        <v>1</v>
      </c>
      <c r="I102" s="12">
        <v>1</v>
      </c>
      <c r="J102" s="6">
        <f t="shared" si="5"/>
        <v>1</v>
      </c>
      <c r="K102" s="8">
        <v>32429330</v>
      </c>
      <c r="L102" s="8">
        <v>32429330</v>
      </c>
      <c r="M102" s="6">
        <f t="shared" si="6"/>
        <v>1</v>
      </c>
      <c r="N102" s="5" t="s">
        <v>590</v>
      </c>
      <c r="O102" s="5" t="s">
        <v>594</v>
      </c>
      <c r="P102" s="5" t="s">
        <v>502</v>
      </c>
      <c r="Q102" s="5" t="s">
        <v>504</v>
      </c>
      <c r="R102" s="5"/>
      <c r="S102" s="5"/>
      <c r="T102" s="10">
        <f t="shared" ca="1" si="7"/>
        <v>46059</v>
      </c>
      <c r="U102" s="5"/>
    </row>
    <row r="103" spans="1:21" ht="45" x14ac:dyDescent="0.25">
      <c r="A103" s="5" t="s">
        <v>498</v>
      </c>
      <c r="B103" s="5" t="s">
        <v>483</v>
      </c>
      <c r="C103" s="5" t="s">
        <v>433</v>
      </c>
      <c r="D103" s="5" t="str">
        <f>IF($C103="","",INDEX(PLAN_DESARROLLO!$B:$B,MATCH($C103,PLAN_DESARROLLO!$A:$A,0)))</f>
        <v>2024257770038</v>
      </c>
      <c r="E103" s="5" t="str">
        <f>IF($C103="","",INDEX(PLAN_DESARROLLO!$C:$C,MATCH($C103,PLAN_DESARROLLO!$A:$A,0)))</f>
        <v>POR EL SUPATÁ SOÑADO AVANZAMOS JUNTOS EN LA LÍNEA ESTRATÉGICA AMBIENTAL</v>
      </c>
      <c r="F103" s="5" t="str">
        <f>IF($C103="","",INDEX(PLAN_DESARROLLO!$D:$D,MATCH($C103,PLAN_DESARROLLO!$A:$A,0)))</f>
        <v>SERVICIOS DIFERENTES APSB</v>
      </c>
      <c r="G103" s="5" t="str">
        <f>IF($C103="","",INDEX(PLAN_DESARROLLO!$E:$E,MATCH($C103,PLAN_DESARROLLO!$A:$A,0)))</f>
        <v>Garantizar el optimo funcionamiento del sistema de alummbrado público</v>
      </c>
      <c r="H103" s="12">
        <v>1</v>
      </c>
      <c r="I103" s="12">
        <v>1</v>
      </c>
      <c r="J103" s="6">
        <f t="shared" si="5"/>
        <v>1</v>
      </c>
      <c r="K103" s="8"/>
      <c r="L103" s="8"/>
      <c r="M103" s="6" t="str">
        <f t="shared" si="6"/>
        <v/>
      </c>
      <c r="N103" s="5" t="s">
        <v>590</v>
      </c>
      <c r="O103" s="5" t="s">
        <v>594</v>
      </c>
      <c r="P103" s="5" t="s">
        <v>502</v>
      </c>
      <c r="Q103" s="5" t="s">
        <v>504</v>
      </c>
      <c r="R103" s="5"/>
      <c r="S103" s="5"/>
      <c r="T103" s="10">
        <f t="shared" ca="1" si="7"/>
        <v>46059</v>
      </c>
      <c r="U103" s="5"/>
    </row>
    <row r="104" spans="1:21" ht="30" x14ac:dyDescent="0.25">
      <c r="A104" s="5" t="s">
        <v>494</v>
      </c>
      <c r="B104" s="5" t="s">
        <v>483</v>
      </c>
      <c r="C104" s="5" t="s">
        <v>435</v>
      </c>
      <c r="D104" s="5" t="str">
        <f>IF($C104="","",INDEX(PLAN_DESARROLLO!$B:$B,MATCH($C104,PLAN_DESARROLLO!$A:$A,0)))</f>
        <v>2024257770038</v>
      </c>
      <c r="E104" s="5" t="str">
        <f>IF($C104="","",INDEX(PLAN_DESARROLLO!$C:$C,MATCH($C104,PLAN_DESARROLLO!$A:$A,0)))</f>
        <v>POR EL SUPATÁ SOÑADO AVANZAMOS JUNTOS EN LA LÍNEA ESTRATÉGICA AMBIENTAL</v>
      </c>
      <c r="F104" s="5" t="str">
        <f>IF($C104="","",INDEX(PLAN_DESARROLLO!$D:$D,MATCH($C104,PLAN_DESARROLLO!$A:$A,0)))</f>
        <v>SERVICIOS DIFERENTES APSB</v>
      </c>
      <c r="G104" s="5" t="str">
        <f>IF($C104="","",INDEX(PLAN_DESARROLLO!$E:$E,MATCH($C104,PLAN_DESARROLLO!$A:$A,0)))</f>
        <v>Realizar anualmente los pagos de servicio de alumbrado público</v>
      </c>
      <c r="H104" s="12">
        <v>1</v>
      </c>
      <c r="I104" s="12">
        <v>1</v>
      </c>
      <c r="J104" s="6">
        <f t="shared" si="5"/>
        <v>1</v>
      </c>
      <c r="K104" s="8">
        <v>117530733</v>
      </c>
      <c r="L104" s="8">
        <v>117530733</v>
      </c>
      <c r="M104" s="6">
        <f t="shared" si="6"/>
        <v>1</v>
      </c>
      <c r="N104" s="5" t="s">
        <v>587</v>
      </c>
      <c r="O104" s="5" t="s">
        <v>594</v>
      </c>
      <c r="P104" s="5" t="s">
        <v>502</v>
      </c>
      <c r="Q104" s="5" t="s">
        <v>504</v>
      </c>
      <c r="R104" s="5"/>
      <c r="S104" s="5"/>
      <c r="T104" s="10">
        <f t="shared" ca="1" si="7"/>
        <v>46059</v>
      </c>
      <c r="U104" s="5"/>
    </row>
    <row r="105" spans="1:21" ht="30" x14ac:dyDescent="0.25">
      <c r="A105" s="5" t="s">
        <v>498</v>
      </c>
      <c r="B105" s="5" t="s">
        <v>483</v>
      </c>
      <c r="C105" s="5" t="s">
        <v>435</v>
      </c>
      <c r="D105" s="5" t="str">
        <f>IF($C105="","",INDEX(PLAN_DESARROLLO!$B:$B,MATCH($C105,PLAN_DESARROLLO!$A:$A,0)))</f>
        <v>2024257770038</v>
      </c>
      <c r="E105" s="5" t="str">
        <f>IF($C105="","",INDEX(PLAN_DESARROLLO!$C:$C,MATCH($C105,PLAN_DESARROLLO!$A:$A,0)))</f>
        <v>POR EL SUPATÁ SOÑADO AVANZAMOS JUNTOS EN LA LÍNEA ESTRATÉGICA AMBIENTAL</v>
      </c>
      <c r="F105" s="5" t="str">
        <f>IF($C105="","",INDEX(PLAN_DESARROLLO!$D:$D,MATCH($C105,PLAN_DESARROLLO!$A:$A,0)))</f>
        <v>SERVICIOS DIFERENTES APSB</v>
      </c>
      <c r="G105" s="5" t="str">
        <f>IF($C105="","",INDEX(PLAN_DESARROLLO!$E:$E,MATCH($C105,PLAN_DESARROLLO!$A:$A,0)))</f>
        <v>Realizar anualmente los pagos de servicio de alumbrado público</v>
      </c>
      <c r="H105" s="12">
        <v>1</v>
      </c>
      <c r="I105" s="12">
        <v>1</v>
      </c>
      <c r="J105" s="6">
        <f t="shared" si="5"/>
        <v>1</v>
      </c>
      <c r="K105" s="8">
        <v>118897630</v>
      </c>
      <c r="L105" s="8">
        <v>118897630</v>
      </c>
      <c r="M105" s="6">
        <f t="shared" si="6"/>
        <v>1</v>
      </c>
      <c r="N105" s="5" t="s">
        <v>588</v>
      </c>
      <c r="O105" s="5" t="s">
        <v>594</v>
      </c>
      <c r="P105" s="5" t="s">
        <v>502</v>
      </c>
      <c r="Q105" s="5" t="s">
        <v>504</v>
      </c>
      <c r="R105" s="5"/>
      <c r="S105" s="5"/>
      <c r="T105" s="10">
        <f t="shared" ca="1" si="7"/>
        <v>46059</v>
      </c>
      <c r="U105" s="5"/>
    </row>
    <row r="106" spans="1:21" ht="30" x14ac:dyDescent="0.25">
      <c r="A106" s="5" t="s">
        <v>494</v>
      </c>
      <c r="B106" s="5" t="s">
        <v>483</v>
      </c>
      <c r="C106" s="5" t="s">
        <v>437</v>
      </c>
      <c r="D106" s="5" t="str">
        <f>IF($C106="","",INDEX(PLAN_DESARROLLO!$B:$B,MATCH($C106,PLAN_DESARROLLO!$A:$A,0)))</f>
        <v>2024257770038</v>
      </c>
      <c r="E106" s="5" t="str">
        <f>IF($C106="","",INDEX(PLAN_DESARROLLO!$C:$C,MATCH($C106,PLAN_DESARROLLO!$A:$A,0)))</f>
        <v>POR EL SUPATÁ SOÑADO AVANZAMOS JUNTOS EN LA LÍNEA ESTRATÉGICA AMBIENTAL</v>
      </c>
      <c r="F106" s="5" t="str">
        <f>IF($C106="","",INDEX(PLAN_DESARROLLO!$D:$D,MATCH($C106,PLAN_DESARROLLO!$A:$A,0)))</f>
        <v>SERVICIOS DIFERENTES APSB</v>
      </c>
      <c r="G106" s="5" t="str">
        <f>IF($C106="","",INDEX(PLAN_DESARROLLO!$E:$E,MATCH($C106,PLAN_DESARROLLO!$A:$A,0)))</f>
        <v>Realizar un (1) estudio tecnico del servicio de Alumbrado Público</v>
      </c>
      <c r="H106" s="12">
        <v>0</v>
      </c>
      <c r="I106" s="12">
        <v>0</v>
      </c>
      <c r="J106" s="6">
        <f t="shared" si="5"/>
        <v>0</v>
      </c>
      <c r="K106" s="8">
        <v>0</v>
      </c>
      <c r="L106" s="8">
        <v>0</v>
      </c>
      <c r="M106" s="6">
        <f t="shared" si="6"/>
        <v>0</v>
      </c>
      <c r="N106" s="5"/>
      <c r="O106" s="5"/>
      <c r="P106" s="5"/>
      <c r="Q106" s="5"/>
      <c r="R106" s="5"/>
      <c r="S106" s="5"/>
      <c r="T106" s="10">
        <f t="shared" ca="1" si="7"/>
        <v>46059</v>
      </c>
      <c r="U106" s="5"/>
    </row>
    <row r="107" spans="1:21" ht="30" x14ac:dyDescent="0.25">
      <c r="A107" s="5" t="s">
        <v>498</v>
      </c>
      <c r="B107" s="5" t="s">
        <v>483</v>
      </c>
      <c r="C107" s="5" t="s">
        <v>437</v>
      </c>
      <c r="D107" s="5" t="str">
        <f>IF($C107="","",INDEX(PLAN_DESARROLLO!$B:$B,MATCH($C107,PLAN_DESARROLLO!$A:$A,0)))</f>
        <v>2024257770038</v>
      </c>
      <c r="E107" s="5" t="str">
        <f>IF($C107="","",INDEX(PLAN_DESARROLLO!$C:$C,MATCH($C107,PLAN_DESARROLLO!$A:$A,0)))</f>
        <v>POR EL SUPATÁ SOÑADO AVANZAMOS JUNTOS EN LA LÍNEA ESTRATÉGICA AMBIENTAL</v>
      </c>
      <c r="F107" s="5" t="str">
        <f>IF($C107="","",INDEX(PLAN_DESARROLLO!$D:$D,MATCH($C107,PLAN_DESARROLLO!$A:$A,0)))</f>
        <v>SERVICIOS DIFERENTES APSB</v>
      </c>
      <c r="G107" s="5" t="str">
        <f>IF($C107="","",INDEX(PLAN_DESARROLLO!$E:$E,MATCH($C107,PLAN_DESARROLLO!$A:$A,0)))</f>
        <v>Realizar un (1) estudio tecnico del servicio de Alumbrado Público</v>
      </c>
      <c r="H107" s="12">
        <v>1</v>
      </c>
      <c r="I107" s="12">
        <v>0</v>
      </c>
      <c r="J107" s="6">
        <f t="shared" si="5"/>
        <v>0</v>
      </c>
      <c r="K107" s="8">
        <v>0</v>
      </c>
      <c r="L107" s="8">
        <v>0</v>
      </c>
      <c r="M107" s="6">
        <f t="shared" si="6"/>
        <v>0</v>
      </c>
      <c r="N107" s="5"/>
      <c r="O107" s="5"/>
      <c r="P107" s="5"/>
      <c r="Q107" s="5"/>
      <c r="R107" s="5"/>
      <c r="S107" s="5"/>
      <c r="T107" s="10">
        <f t="shared" ca="1" si="7"/>
        <v>46059</v>
      </c>
      <c r="U107" s="5"/>
    </row>
    <row r="108" spans="1:21" ht="30" x14ac:dyDescent="0.25">
      <c r="A108" s="5" t="s">
        <v>494</v>
      </c>
      <c r="B108" s="5" t="s">
        <v>483</v>
      </c>
      <c r="C108" s="5" t="s">
        <v>439</v>
      </c>
      <c r="D108" s="5" t="str">
        <f>IF($C108="","",INDEX(PLAN_DESARROLLO!$B:$B,MATCH($C108,PLAN_DESARROLLO!$A:$A,0)))</f>
        <v>2024257770038</v>
      </c>
      <c r="E108" s="5" t="str">
        <f>IF($C108="","",INDEX(PLAN_DESARROLLO!$C:$C,MATCH($C108,PLAN_DESARROLLO!$A:$A,0)))</f>
        <v>POR EL SUPATÁ SOÑADO AVANZAMOS JUNTOS EN LA LÍNEA ESTRATÉGICA AMBIENTAL</v>
      </c>
      <c r="F108" s="5" t="str">
        <f>IF($C108="","",INDEX(PLAN_DESARROLLO!$D:$D,MATCH($C108,PLAN_DESARROLLO!$A:$A,0)))</f>
        <v>SERVICIOS DIFERENTES APSB</v>
      </c>
      <c r="G108" s="5" t="str">
        <f>IF($C108="","",INDEX(PLAN_DESARROLLO!$E:$E,MATCH($C108,PLAN_DESARROLLO!$A:$A,0)))</f>
        <v>gestionar la implementación de energías alternativas</v>
      </c>
      <c r="H108" s="12">
        <v>0</v>
      </c>
      <c r="I108" s="12">
        <v>0</v>
      </c>
      <c r="J108" s="6">
        <f t="shared" si="5"/>
        <v>0</v>
      </c>
      <c r="K108" s="8">
        <v>0</v>
      </c>
      <c r="L108" s="8">
        <v>0</v>
      </c>
      <c r="M108" s="6">
        <f t="shared" si="6"/>
        <v>0</v>
      </c>
      <c r="N108" s="5"/>
      <c r="O108" s="5"/>
      <c r="P108" s="5"/>
      <c r="Q108" s="5"/>
      <c r="R108" s="5"/>
      <c r="S108" s="5"/>
      <c r="T108" s="10">
        <f t="shared" ca="1" si="7"/>
        <v>46059</v>
      </c>
      <c r="U108" s="5"/>
    </row>
    <row r="109" spans="1:21" ht="60" x14ac:dyDescent="0.25">
      <c r="A109" s="5" t="s">
        <v>498</v>
      </c>
      <c r="B109" s="5" t="s">
        <v>483</v>
      </c>
      <c r="C109" s="5" t="s">
        <v>439</v>
      </c>
      <c r="D109" s="5" t="str">
        <f>IF($C109="","",INDEX(PLAN_DESARROLLO!$B:$B,MATCH($C109,PLAN_DESARROLLO!$A:$A,0)))</f>
        <v>2024257770038</v>
      </c>
      <c r="E109" s="5" t="str">
        <f>IF($C109="","",INDEX(PLAN_DESARROLLO!$C:$C,MATCH($C109,PLAN_DESARROLLO!$A:$A,0)))</f>
        <v>POR EL SUPATÁ SOÑADO AVANZAMOS JUNTOS EN LA LÍNEA ESTRATÉGICA AMBIENTAL</v>
      </c>
      <c r="F109" s="5" t="str">
        <f>IF($C109="","",INDEX(PLAN_DESARROLLO!$D:$D,MATCH($C109,PLAN_DESARROLLO!$A:$A,0)))</f>
        <v>SERVICIOS DIFERENTES APSB</v>
      </c>
      <c r="G109" s="5" t="str">
        <f>IF($C109="","",INDEX(PLAN_DESARROLLO!$E:$E,MATCH($C109,PLAN_DESARROLLO!$A:$A,0)))</f>
        <v>gestionar la implementación de energías alternativas</v>
      </c>
      <c r="H109" s="12">
        <v>1</v>
      </c>
      <c r="I109" s="12">
        <v>1</v>
      </c>
      <c r="J109" s="6">
        <f t="shared" si="5"/>
        <v>1</v>
      </c>
      <c r="K109" s="8">
        <v>0</v>
      </c>
      <c r="L109" s="8">
        <v>0</v>
      </c>
      <c r="M109" s="6">
        <f t="shared" si="6"/>
        <v>0</v>
      </c>
      <c r="N109" s="5" t="s">
        <v>591</v>
      </c>
      <c r="O109" s="5" t="s">
        <v>592</v>
      </c>
      <c r="P109" s="5" t="s">
        <v>495</v>
      </c>
      <c r="Q109" s="5" t="s">
        <v>504</v>
      </c>
      <c r="R109" s="5"/>
      <c r="S109" s="5"/>
      <c r="T109" s="10">
        <f t="shared" ca="1" si="7"/>
        <v>46059</v>
      </c>
      <c r="U109" s="5"/>
    </row>
    <row r="110" spans="1:21" ht="30" x14ac:dyDescent="0.25">
      <c r="A110" s="5" t="s">
        <v>494</v>
      </c>
      <c r="B110" s="5" t="s">
        <v>483</v>
      </c>
      <c r="C110" s="5" t="s">
        <v>441</v>
      </c>
      <c r="D110" s="5" t="str">
        <f>IF($C110="","",INDEX(PLAN_DESARROLLO!$B:$B,MATCH($C110,PLAN_DESARROLLO!$A:$A,0)))</f>
        <v>2024257770039</v>
      </c>
      <c r="E110" s="5" t="str">
        <f>IF($C110="","",INDEX(PLAN_DESARROLLO!$C:$C,MATCH($C110,PLAN_DESARROLLO!$A:$A,0)))</f>
        <v>POR EL SUPATÁ SOÑADO AVANZAMOS JUNTOS EN LA LÍNEA ESTRATÉGICA AMBIENTAL</v>
      </c>
      <c r="F110" s="5" t="str">
        <f>IF($C110="","",INDEX(PLAN_DESARROLLO!$D:$D,MATCH($C110,PLAN_DESARROLLO!$A:$A,0)))</f>
        <v>SERVICIOS DIFERENTES APSB</v>
      </c>
      <c r="G110" s="5" t="str">
        <f>IF($C110="","",INDEX(PLAN_DESARROLLO!$E:$E,MATCH($C110,PLAN_DESARROLLO!$A:$A,0)))</f>
        <v>Ampliar beneficiarios del servicio de gas</v>
      </c>
      <c r="H110" s="12">
        <v>10</v>
      </c>
      <c r="I110" s="12">
        <v>0</v>
      </c>
      <c r="J110" s="6">
        <f t="shared" si="5"/>
        <v>0</v>
      </c>
      <c r="K110" s="8">
        <v>0</v>
      </c>
      <c r="L110" s="8">
        <v>0</v>
      </c>
      <c r="M110" s="6">
        <f t="shared" si="6"/>
        <v>0</v>
      </c>
      <c r="N110" s="5"/>
      <c r="O110" s="5"/>
      <c r="P110" s="5"/>
      <c r="Q110" s="5"/>
      <c r="R110" s="5"/>
      <c r="S110" s="5"/>
      <c r="T110" s="10">
        <f t="shared" ca="1" si="7"/>
        <v>46059</v>
      </c>
      <c r="U110" s="5"/>
    </row>
    <row r="111" spans="1:21" ht="45.75" thickBot="1" x14ac:dyDescent="0.3">
      <c r="A111" s="5" t="s">
        <v>498</v>
      </c>
      <c r="B111" s="5" t="s">
        <v>483</v>
      </c>
      <c r="C111" s="5" t="s">
        <v>441</v>
      </c>
      <c r="D111" s="5" t="str">
        <f>IF($C111="","",INDEX(PLAN_DESARROLLO!$B:$B,MATCH($C111,PLAN_DESARROLLO!$A:$A,0)))</f>
        <v>2024257770039</v>
      </c>
      <c r="E111" s="5" t="str">
        <f>IF($C111="","",INDEX(PLAN_DESARROLLO!$C:$C,MATCH($C111,PLAN_DESARROLLO!$A:$A,0)))</f>
        <v>POR EL SUPATÁ SOÑADO AVANZAMOS JUNTOS EN LA LÍNEA ESTRATÉGICA AMBIENTAL</v>
      </c>
      <c r="F111" s="5" t="str">
        <f>IF($C111="","",INDEX(PLAN_DESARROLLO!$D:$D,MATCH($C111,PLAN_DESARROLLO!$A:$A,0)))</f>
        <v>SERVICIOS DIFERENTES APSB</v>
      </c>
      <c r="G111" s="5" t="str">
        <f>IF($C111="","",INDEX(PLAN_DESARROLLO!$E:$E,MATCH($C111,PLAN_DESARROLLO!$A:$A,0)))</f>
        <v>Ampliar beneficiarios del servicio de gas</v>
      </c>
      <c r="H111" s="12">
        <v>10</v>
      </c>
      <c r="I111" s="12">
        <v>0</v>
      </c>
      <c r="J111" s="6">
        <f t="shared" si="5"/>
        <v>0</v>
      </c>
      <c r="K111" s="8">
        <v>0</v>
      </c>
      <c r="L111" s="8">
        <v>0</v>
      </c>
      <c r="M111" s="6">
        <f t="shared" si="6"/>
        <v>0</v>
      </c>
      <c r="N111" s="5" t="s">
        <v>593</v>
      </c>
      <c r="O111" s="5" t="s">
        <v>509</v>
      </c>
      <c r="P111" s="5" t="s">
        <v>495</v>
      </c>
      <c r="Q111" s="5" t="s">
        <v>504</v>
      </c>
      <c r="R111" s="5"/>
      <c r="S111" s="5"/>
      <c r="T111" s="10">
        <f t="shared" ca="1" si="7"/>
        <v>46059</v>
      </c>
      <c r="U111" s="5"/>
    </row>
    <row r="112" spans="1:21" ht="75.75" thickBot="1" x14ac:dyDescent="0.3">
      <c r="A112" s="5" t="s">
        <v>494</v>
      </c>
      <c r="B112" s="14" t="s">
        <v>487</v>
      </c>
      <c r="C112" s="5" t="s">
        <v>261</v>
      </c>
      <c r="D112" s="5" t="str">
        <f>IF($C112="","",INDEX([1]PLAN_DESARROLLO!$B:$B,MATCH($C112,[1]PLAN_DESARROLLO!$A:$A,0)))</f>
        <v>2024257770020</v>
      </c>
      <c r="E112" s="5" t="str">
        <f>IF($C112="","",INDEX([1]PLAN_DESARROLLO!$C:$C,MATCH($C112,[1]PLAN_DESARROLLO!$A:$A,0)))</f>
        <v>POR EL SUPATÁ SOÑADO AVANZAMOS JUNTOS EN LA LÍNEA ESTRATÉGICA ECONÓMICA</v>
      </c>
      <c r="F112" s="14" t="s">
        <v>263</v>
      </c>
      <c r="G112" s="5" t="str">
        <f>IF($C112="","",INDEX([1]PLAN_DESARROLLO!$E:$E,MATCH($C112,[1]PLAN_DESARROLLO!$A:$A,0)))</f>
        <v>Realizar la construccion de 1 mirador turistico</v>
      </c>
      <c r="H112" s="12">
        <v>0</v>
      </c>
      <c r="I112" s="12">
        <v>0</v>
      </c>
      <c r="J112" s="6">
        <f t="shared" si="5"/>
        <v>0</v>
      </c>
      <c r="K112" s="8">
        <v>40000000</v>
      </c>
      <c r="L112" s="8">
        <v>0</v>
      </c>
      <c r="M112" s="6">
        <f t="shared" si="6"/>
        <v>0</v>
      </c>
      <c r="N112" s="15" t="s">
        <v>595</v>
      </c>
      <c r="O112" s="5" t="s">
        <v>496</v>
      </c>
      <c r="P112" s="5" t="s">
        <v>495</v>
      </c>
      <c r="Q112" s="5" t="s">
        <v>506</v>
      </c>
      <c r="R112" s="5"/>
      <c r="S112" s="5"/>
      <c r="T112" s="10">
        <v>46044</v>
      </c>
      <c r="U112" s="5"/>
    </row>
    <row r="113" spans="1:21" ht="75.75" thickBot="1" x14ac:dyDescent="0.3">
      <c r="A113" s="5" t="s">
        <v>498</v>
      </c>
      <c r="B113" s="14" t="s">
        <v>487</v>
      </c>
      <c r="C113" s="5" t="s">
        <v>261</v>
      </c>
      <c r="D113" s="5" t="str">
        <f>IF($C113="","",INDEX([1]PLAN_DESARROLLO!$B:$B,MATCH($C113,[1]PLAN_DESARROLLO!$A:$A,0)))</f>
        <v>2024257770020</v>
      </c>
      <c r="E113" s="5" t="str">
        <f>IF($C113="","",INDEX([1]PLAN_DESARROLLO!$C:$C,MATCH($C113,[1]PLAN_DESARROLLO!$A:$A,0)))</f>
        <v>POR EL SUPATÁ SOÑADO AVANZAMOS JUNTOS EN LA LÍNEA ESTRATÉGICA ECONÓMICA</v>
      </c>
      <c r="F113" s="14" t="s">
        <v>263</v>
      </c>
      <c r="G113" s="5" t="str">
        <f>IF($C113="","",INDEX([1]PLAN_DESARROLLO!$E:$E,MATCH($C113,[1]PLAN_DESARROLLO!$A:$A,0)))</f>
        <v>Realizar la construccion de 1 mirador turistico</v>
      </c>
      <c r="H113" s="12">
        <v>0</v>
      </c>
      <c r="I113" s="12">
        <v>0</v>
      </c>
      <c r="J113" s="6">
        <f t="shared" si="5"/>
        <v>0</v>
      </c>
      <c r="K113" s="8">
        <v>40000000</v>
      </c>
      <c r="L113" s="8">
        <v>0</v>
      </c>
      <c r="M113" s="6">
        <f t="shared" si="6"/>
        <v>0</v>
      </c>
      <c r="N113" s="16" t="s">
        <v>595</v>
      </c>
      <c r="O113" s="5" t="s">
        <v>496</v>
      </c>
      <c r="P113" s="5" t="s">
        <v>495</v>
      </c>
      <c r="Q113" s="5" t="s">
        <v>506</v>
      </c>
      <c r="R113" s="5"/>
      <c r="S113" s="5"/>
      <c r="T113" s="10">
        <v>46044</v>
      </c>
      <c r="U113" s="5"/>
    </row>
    <row r="114" spans="1:21" ht="120.75" thickBot="1" x14ac:dyDescent="0.3">
      <c r="A114" s="5" t="s">
        <v>494</v>
      </c>
      <c r="B114" s="14" t="s">
        <v>487</v>
      </c>
      <c r="C114" s="5" t="s">
        <v>265</v>
      </c>
      <c r="D114" s="5" t="str">
        <f>IF($C114="","",INDEX([1]PLAN_DESARROLLO!$B:$B,MATCH($C114,[1]PLAN_DESARROLLO!$A:$A,0)))</f>
        <v>2024257770020</v>
      </c>
      <c r="E114" s="5" t="str">
        <f>IF($C114="","",INDEX([1]PLAN_DESARROLLO!$C:$C,MATCH($C114,[1]PLAN_DESARROLLO!$A:$A,0)))</f>
        <v>POR EL SUPATÁ SOÑADO AVANZAMOS JUNTOS EN LA LÍNEA ESTRATÉGICA ECONÓMICA</v>
      </c>
      <c r="F114" s="14" t="s">
        <v>263</v>
      </c>
      <c r="G114" s="5" t="str">
        <f>IF($C114="","",INDEX([1]PLAN_DESARROLLO!$E:$E,MATCH($C114,[1]PLAN_DESARROLLO!$A:$A,0)))</f>
        <v>Elaborar el plan turistico del municipio</v>
      </c>
      <c r="H114" s="12">
        <v>0</v>
      </c>
      <c r="I114" s="12">
        <v>0</v>
      </c>
      <c r="J114" s="6">
        <f t="shared" si="5"/>
        <v>0</v>
      </c>
      <c r="K114" s="8">
        <v>15000000</v>
      </c>
      <c r="L114" s="8">
        <v>0</v>
      </c>
      <c r="M114" s="6">
        <f t="shared" si="6"/>
        <v>0</v>
      </c>
      <c r="N114" s="16" t="s">
        <v>596</v>
      </c>
      <c r="O114" s="5" t="s">
        <v>496</v>
      </c>
      <c r="P114" s="5" t="s">
        <v>495</v>
      </c>
      <c r="Q114" s="5" t="s">
        <v>506</v>
      </c>
      <c r="R114" s="5"/>
      <c r="S114" s="5"/>
      <c r="T114" s="10">
        <v>46044</v>
      </c>
      <c r="U114" s="5"/>
    </row>
    <row r="115" spans="1:21" ht="90.75" thickBot="1" x14ac:dyDescent="0.3">
      <c r="A115" s="5" t="s">
        <v>498</v>
      </c>
      <c r="B115" s="14" t="s">
        <v>487</v>
      </c>
      <c r="C115" s="5" t="s">
        <v>265</v>
      </c>
      <c r="D115" s="5" t="str">
        <f>IF($C115="","",INDEX([1]PLAN_DESARROLLO!$B:$B,MATCH($C115,[1]PLAN_DESARROLLO!$A:$A,0)))</f>
        <v>2024257770020</v>
      </c>
      <c r="E115" s="5" t="str">
        <f>IF($C115="","",INDEX([1]PLAN_DESARROLLO!$C:$C,MATCH($C115,[1]PLAN_DESARROLLO!$A:$A,0)))</f>
        <v>POR EL SUPATÁ SOÑADO AVANZAMOS JUNTOS EN LA LÍNEA ESTRATÉGICA ECONÓMICA</v>
      </c>
      <c r="F115" s="14" t="s">
        <v>263</v>
      </c>
      <c r="G115" s="5" t="str">
        <f>IF($C115="","",INDEX([1]PLAN_DESARROLLO!$E:$E,MATCH($C115,[1]PLAN_DESARROLLO!$A:$A,0)))</f>
        <v>Elaborar el plan turistico del municipio</v>
      </c>
      <c r="H115" s="12">
        <v>1</v>
      </c>
      <c r="I115" s="12">
        <v>1</v>
      </c>
      <c r="J115" s="6">
        <f t="shared" si="5"/>
        <v>1</v>
      </c>
      <c r="K115" s="8">
        <v>15000000</v>
      </c>
      <c r="L115" s="8">
        <v>15000000</v>
      </c>
      <c r="M115" s="6">
        <f t="shared" si="6"/>
        <v>1</v>
      </c>
      <c r="N115" s="16" t="s">
        <v>597</v>
      </c>
      <c r="O115" s="5" t="s">
        <v>514</v>
      </c>
      <c r="P115" s="5" t="s">
        <v>502</v>
      </c>
      <c r="Q115" s="5" t="s">
        <v>504</v>
      </c>
      <c r="R115" s="5"/>
      <c r="S115" s="5"/>
      <c r="T115" s="10">
        <v>46044</v>
      </c>
      <c r="U115" s="5"/>
    </row>
    <row r="116" spans="1:21" ht="120.75" thickBot="1" x14ac:dyDescent="0.3">
      <c r="A116" s="5" t="s">
        <v>494</v>
      </c>
      <c r="B116" s="14" t="s">
        <v>487</v>
      </c>
      <c r="C116" s="5" t="s">
        <v>267</v>
      </c>
      <c r="D116" s="5" t="str">
        <f>IF($C116="","",INDEX([1]PLAN_DESARROLLO!$B:$B,MATCH($C116,[1]PLAN_DESARROLLO!$A:$A,0)))</f>
        <v>2024257770020</v>
      </c>
      <c r="E116" s="5" t="str">
        <f>IF($C116="","",INDEX([1]PLAN_DESARROLLO!$C:$C,MATCH($C116,[1]PLAN_DESARROLLO!$A:$A,0)))</f>
        <v>POR EL SUPATÁ SOÑADO AVANZAMOS JUNTOS EN LA LÍNEA ESTRATÉGICA ECONÓMICA</v>
      </c>
      <c r="F116" s="14" t="s">
        <v>263</v>
      </c>
      <c r="G116" s="5" t="str">
        <f>IF($C116="","",INDEX([1]PLAN_DESARROLLO!$E:$E,MATCH($C116,[1]PLAN_DESARROLLO!$A:$A,0)))</f>
        <v>Realizar 4 capacitaciones a los operadores sobre servicios turisticos</v>
      </c>
      <c r="H116" s="12">
        <v>1</v>
      </c>
      <c r="I116" s="12">
        <v>1</v>
      </c>
      <c r="J116" s="6">
        <f t="shared" si="5"/>
        <v>1</v>
      </c>
      <c r="K116" s="8"/>
      <c r="L116" s="8"/>
      <c r="M116" s="6" t="str">
        <f t="shared" si="6"/>
        <v/>
      </c>
      <c r="N116" s="16" t="s">
        <v>598</v>
      </c>
      <c r="O116" s="5" t="s">
        <v>496</v>
      </c>
      <c r="P116" s="5" t="s">
        <v>499</v>
      </c>
      <c r="Q116" s="5" t="s">
        <v>506</v>
      </c>
      <c r="R116" s="5"/>
      <c r="S116" s="5"/>
      <c r="T116" s="10">
        <v>46044</v>
      </c>
      <c r="U116" s="5"/>
    </row>
    <row r="117" spans="1:21" ht="120.75" thickBot="1" x14ac:dyDescent="0.3">
      <c r="A117" s="5" t="s">
        <v>498</v>
      </c>
      <c r="B117" s="14" t="s">
        <v>487</v>
      </c>
      <c r="C117" s="5" t="s">
        <v>267</v>
      </c>
      <c r="D117" s="5" t="str">
        <f>IF($C117="","",INDEX([1]PLAN_DESARROLLO!$B:$B,MATCH($C117,[1]PLAN_DESARROLLO!$A:$A,0)))</f>
        <v>2024257770020</v>
      </c>
      <c r="E117" s="5" t="str">
        <f>IF($C117="","",INDEX([1]PLAN_DESARROLLO!$C:$C,MATCH($C117,[1]PLAN_DESARROLLO!$A:$A,0)))</f>
        <v>POR EL SUPATÁ SOÑADO AVANZAMOS JUNTOS EN LA LÍNEA ESTRATÉGICA ECONÓMICA</v>
      </c>
      <c r="F117" s="14" t="s">
        <v>263</v>
      </c>
      <c r="G117" s="5" t="str">
        <f>IF($C117="","",INDEX([1]PLAN_DESARROLLO!$E:$E,MATCH($C117,[1]PLAN_DESARROLLO!$A:$A,0)))</f>
        <v>Realizar 4 capacitaciones a los operadores sobre servicios turisticos</v>
      </c>
      <c r="H117" s="12">
        <v>1</v>
      </c>
      <c r="I117" s="12">
        <v>1</v>
      </c>
      <c r="J117" s="6">
        <f t="shared" si="5"/>
        <v>1</v>
      </c>
      <c r="K117" s="8"/>
      <c r="L117" s="8"/>
      <c r="M117" s="6" t="str">
        <f t="shared" si="6"/>
        <v/>
      </c>
      <c r="N117" s="16" t="s">
        <v>598</v>
      </c>
      <c r="O117" s="5" t="s">
        <v>496</v>
      </c>
      <c r="P117" s="5" t="s">
        <v>499</v>
      </c>
      <c r="Q117" s="5" t="s">
        <v>506</v>
      </c>
      <c r="R117" s="5"/>
      <c r="S117" s="5"/>
      <c r="T117" s="10">
        <v>46044</v>
      </c>
      <c r="U117" s="5"/>
    </row>
    <row r="118" spans="1:21" ht="135.75" thickBot="1" x14ac:dyDescent="0.3">
      <c r="A118" s="5" t="s">
        <v>494</v>
      </c>
      <c r="B118" s="14" t="s">
        <v>487</v>
      </c>
      <c r="C118" s="5" t="s">
        <v>269</v>
      </c>
      <c r="D118" s="5" t="str">
        <f>IF($C118="","",INDEX([1]PLAN_DESARROLLO!$B:$B,MATCH($C118,[1]PLAN_DESARROLLO!$A:$A,0)))</f>
        <v>2024257770020</v>
      </c>
      <c r="E118" s="5" t="str">
        <f>IF($C118="","",INDEX([1]PLAN_DESARROLLO!$C:$C,MATCH($C118,[1]PLAN_DESARROLLO!$A:$A,0)))</f>
        <v>POR EL SUPATÁ SOÑADO AVANZAMOS JUNTOS EN LA LÍNEA ESTRATÉGICA ECONÓMICA</v>
      </c>
      <c r="F118" s="14" t="s">
        <v>263</v>
      </c>
      <c r="G118" s="5" t="str">
        <f>IF($C118="","",INDEX([1]PLAN_DESARROLLO!$E:$E,MATCH($C118,[1]PLAN_DESARROLLO!$A:$A,0)))</f>
        <v>Brindar anualmente apoyo a iniciativas de proyectos turísticos</v>
      </c>
      <c r="H118" s="12">
        <v>1</v>
      </c>
      <c r="I118" s="12">
        <v>1</v>
      </c>
      <c r="J118" s="6">
        <f t="shared" si="5"/>
        <v>1</v>
      </c>
      <c r="K118" s="8">
        <v>30000000</v>
      </c>
      <c r="L118" s="8">
        <v>30000000</v>
      </c>
      <c r="M118" s="6">
        <f t="shared" si="6"/>
        <v>1</v>
      </c>
      <c r="N118" s="16" t="s">
        <v>599</v>
      </c>
      <c r="O118" s="5" t="s">
        <v>496</v>
      </c>
      <c r="P118" s="5" t="s">
        <v>499</v>
      </c>
      <c r="Q118" s="5" t="s">
        <v>506</v>
      </c>
      <c r="R118" s="5"/>
      <c r="S118" s="5"/>
      <c r="T118" s="10">
        <v>46044</v>
      </c>
      <c r="U118" s="5"/>
    </row>
    <row r="119" spans="1:21" ht="120.75" thickBot="1" x14ac:dyDescent="0.3">
      <c r="A119" s="5" t="s">
        <v>498</v>
      </c>
      <c r="B119" s="14" t="s">
        <v>487</v>
      </c>
      <c r="C119" s="5" t="s">
        <v>269</v>
      </c>
      <c r="D119" s="5" t="str">
        <f>IF($C119="","",INDEX([1]PLAN_DESARROLLO!$B:$B,MATCH($C119,[1]PLAN_DESARROLLO!$A:$A,0)))</f>
        <v>2024257770020</v>
      </c>
      <c r="E119" s="5" t="str">
        <f>IF($C119="","",INDEX([1]PLAN_DESARROLLO!$C:$C,MATCH($C119,[1]PLAN_DESARROLLO!$A:$A,0)))</f>
        <v>POR EL SUPATÁ SOÑADO AVANZAMOS JUNTOS EN LA LÍNEA ESTRATÉGICA ECONÓMICA</v>
      </c>
      <c r="F119" s="14" t="s">
        <v>263</v>
      </c>
      <c r="G119" s="5" t="str">
        <f>IF($C119="","",INDEX([1]PLAN_DESARROLLO!$E:$E,MATCH($C119,[1]PLAN_DESARROLLO!$A:$A,0)))</f>
        <v>Brindar anualmente apoyo a iniciativas de proyectos turísticos</v>
      </c>
      <c r="H119" s="12">
        <v>1</v>
      </c>
      <c r="I119" s="12">
        <v>1</v>
      </c>
      <c r="J119" s="6">
        <f t="shared" si="5"/>
        <v>1</v>
      </c>
      <c r="K119" s="8">
        <v>30000000</v>
      </c>
      <c r="L119" s="8">
        <v>30000000</v>
      </c>
      <c r="M119" s="6">
        <f t="shared" si="6"/>
        <v>1</v>
      </c>
      <c r="N119" s="16" t="s">
        <v>600</v>
      </c>
      <c r="O119" s="5" t="s">
        <v>496</v>
      </c>
      <c r="P119" s="5" t="s">
        <v>499</v>
      </c>
      <c r="Q119" s="5" t="s">
        <v>506</v>
      </c>
      <c r="R119" s="5"/>
      <c r="S119" s="5"/>
      <c r="T119" s="10">
        <v>46044</v>
      </c>
      <c r="U119" s="5"/>
    </row>
    <row r="120" spans="1:21" ht="60.75" thickBot="1" x14ac:dyDescent="0.3">
      <c r="A120" s="5" t="s">
        <v>494</v>
      </c>
      <c r="B120" s="14" t="s">
        <v>487</v>
      </c>
      <c r="C120" s="5" t="s">
        <v>271</v>
      </c>
      <c r="D120" s="5" t="str">
        <f>IF($C120="","",INDEX([1]PLAN_DESARROLLO!$B:$B,MATCH($C120,[1]PLAN_DESARROLLO!$A:$A,0)))</f>
        <v>2024257770020</v>
      </c>
      <c r="E120" s="5" t="str">
        <f>IF($C120="","",INDEX([1]PLAN_DESARROLLO!$C:$C,MATCH($C120,[1]PLAN_DESARROLLO!$A:$A,0)))</f>
        <v>POR EL SUPATÁ SOÑADO AVANZAMOS JUNTOS EN LA LÍNEA ESTRATÉGICA ECONÓMICA</v>
      </c>
      <c r="F120" s="14" t="s">
        <v>263</v>
      </c>
      <c r="G120" s="5" t="str">
        <f>IF($C120="","",INDEX([1]PLAN_DESARROLLO!$E:$E,MATCH($C120,[1]PLAN_DESARROLLO!$A:$A,0)))</f>
        <v>Realizar eventos turísticas para que se admire la  riqueza ecoturista y agroturista</v>
      </c>
      <c r="H120" s="12">
        <v>4</v>
      </c>
      <c r="I120" s="12">
        <v>4</v>
      </c>
      <c r="J120" s="6">
        <f t="shared" si="5"/>
        <v>1</v>
      </c>
      <c r="K120" s="8">
        <v>75000000</v>
      </c>
      <c r="L120" s="8">
        <v>75000000</v>
      </c>
      <c r="M120" s="6">
        <f t="shared" si="6"/>
        <v>1</v>
      </c>
      <c r="N120" s="16" t="s">
        <v>601</v>
      </c>
      <c r="O120" s="5" t="s">
        <v>496</v>
      </c>
      <c r="P120" s="5" t="s">
        <v>499</v>
      </c>
      <c r="Q120" s="5" t="s">
        <v>506</v>
      </c>
      <c r="R120" s="5"/>
      <c r="S120" s="5"/>
      <c r="T120" s="10">
        <v>46044</v>
      </c>
      <c r="U120" s="5"/>
    </row>
    <row r="121" spans="1:21" ht="60.75" thickBot="1" x14ac:dyDescent="0.3">
      <c r="A121" s="5" t="s">
        <v>498</v>
      </c>
      <c r="B121" s="14" t="s">
        <v>487</v>
      </c>
      <c r="C121" s="5" t="s">
        <v>271</v>
      </c>
      <c r="D121" s="5" t="str">
        <f>IF($C121="","",INDEX([1]PLAN_DESARROLLO!$B:$B,MATCH($C121,[1]PLAN_DESARROLLO!$A:$A,0)))</f>
        <v>2024257770020</v>
      </c>
      <c r="E121" s="5" t="str">
        <f>IF($C121="","",INDEX([1]PLAN_DESARROLLO!$C:$C,MATCH($C121,[1]PLAN_DESARROLLO!$A:$A,0)))</f>
        <v>POR EL SUPATÁ SOÑADO AVANZAMOS JUNTOS EN LA LÍNEA ESTRATÉGICA ECONÓMICA</v>
      </c>
      <c r="F121" s="14" t="s">
        <v>263</v>
      </c>
      <c r="G121" s="5" t="str">
        <f>IF($C121="","",INDEX([1]PLAN_DESARROLLO!$E:$E,MATCH($C121,[1]PLAN_DESARROLLO!$A:$A,0)))</f>
        <v>Realizar eventos turísticas para que se admire la  riqueza ecoturista y agroturista</v>
      </c>
      <c r="H121" s="12">
        <v>4</v>
      </c>
      <c r="I121" s="12">
        <v>4</v>
      </c>
      <c r="J121" s="6">
        <f t="shared" si="5"/>
        <v>1</v>
      </c>
      <c r="K121" s="8">
        <v>75000000</v>
      </c>
      <c r="L121" s="8">
        <v>75000000</v>
      </c>
      <c r="M121" s="6">
        <f t="shared" si="6"/>
        <v>1</v>
      </c>
      <c r="N121" s="16" t="s">
        <v>601</v>
      </c>
      <c r="O121" s="5" t="s">
        <v>496</v>
      </c>
      <c r="P121" s="5" t="s">
        <v>499</v>
      </c>
      <c r="Q121" s="5" t="s">
        <v>506</v>
      </c>
      <c r="R121" s="5"/>
      <c r="S121" s="5"/>
      <c r="T121" s="10">
        <v>46044</v>
      </c>
      <c r="U121" s="5"/>
    </row>
    <row r="122" spans="1:21" ht="120.75" thickBot="1" x14ac:dyDescent="0.3">
      <c r="A122" s="5" t="s">
        <v>494</v>
      </c>
      <c r="B122" s="14" t="s">
        <v>487</v>
      </c>
      <c r="C122" s="5" t="s">
        <v>273</v>
      </c>
      <c r="D122" s="5" t="str">
        <f>IF($C122="","",INDEX([1]PLAN_DESARROLLO!$B:$B,MATCH($C122,[1]PLAN_DESARROLLO!$A:$A,0)))</f>
        <v>2024257770020</v>
      </c>
      <c r="E122" s="5" t="str">
        <f>IF($C122="","",INDEX([1]PLAN_DESARROLLO!$C:$C,MATCH($C122,[1]PLAN_DESARROLLO!$A:$A,0)))</f>
        <v>POR EL SUPATÁ SOÑADO AVANZAMOS JUNTOS EN LA LÍNEA ESTRATÉGICA ECONÓMICA</v>
      </c>
      <c r="F122" s="14" t="s">
        <v>263</v>
      </c>
      <c r="G122" s="5" t="str">
        <f>IF($C122="","",INDEX([1]PLAN_DESARROLLO!$E:$E,MATCH($C122,[1]PLAN_DESARROLLO!$A:$A,0)))</f>
        <v>Realizar anualmente alianzas turisticas con entidades de orden nacional, departamental y de cooperacion internacional</v>
      </c>
      <c r="H122" s="12">
        <v>1</v>
      </c>
      <c r="I122" s="12">
        <v>1</v>
      </c>
      <c r="J122" s="6">
        <f t="shared" si="5"/>
        <v>1</v>
      </c>
      <c r="K122" s="8">
        <v>0</v>
      </c>
      <c r="L122" s="8">
        <v>0</v>
      </c>
      <c r="M122" s="6">
        <f t="shared" si="6"/>
        <v>0</v>
      </c>
      <c r="N122" s="16" t="s">
        <v>602</v>
      </c>
      <c r="O122" s="5" t="s">
        <v>496</v>
      </c>
      <c r="P122" s="5" t="s">
        <v>499</v>
      </c>
      <c r="Q122" s="5" t="s">
        <v>506</v>
      </c>
      <c r="R122" s="5"/>
      <c r="S122" s="5"/>
      <c r="T122" s="10">
        <v>46044</v>
      </c>
      <c r="U122" s="5"/>
    </row>
    <row r="123" spans="1:21" ht="120.75" thickBot="1" x14ac:dyDescent="0.3">
      <c r="A123" s="5" t="s">
        <v>498</v>
      </c>
      <c r="B123" s="14" t="s">
        <v>487</v>
      </c>
      <c r="C123" s="5" t="s">
        <v>273</v>
      </c>
      <c r="D123" s="5" t="str">
        <f>IF($C123="","",INDEX([1]PLAN_DESARROLLO!$B:$B,MATCH($C123,[1]PLAN_DESARROLLO!$A:$A,0)))</f>
        <v>2024257770020</v>
      </c>
      <c r="E123" s="5" t="str">
        <f>IF($C123="","",INDEX([1]PLAN_DESARROLLO!$C:$C,MATCH($C123,[1]PLAN_DESARROLLO!$A:$A,0)))</f>
        <v>POR EL SUPATÁ SOÑADO AVANZAMOS JUNTOS EN LA LÍNEA ESTRATÉGICA ECONÓMICA</v>
      </c>
      <c r="F123" s="14" t="s">
        <v>263</v>
      </c>
      <c r="G123" s="5" t="str">
        <f>IF($C123="","",INDEX([1]PLAN_DESARROLLO!$E:$E,MATCH($C123,[1]PLAN_DESARROLLO!$A:$A,0)))</f>
        <v>Realizar anualmente alianzas turisticas con entidades de orden nacional, departamental y de cooperacion internacional</v>
      </c>
      <c r="H123" s="12">
        <v>1</v>
      </c>
      <c r="I123" s="12">
        <v>1</v>
      </c>
      <c r="J123" s="6">
        <f t="shared" si="5"/>
        <v>1</v>
      </c>
      <c r="K123" s="8">
        <v>0</v>
      </c>
      <c r="L123" s="8">
        <v>0</v>
      </c>
      <c r="M123" s="6">
        <f t="shared" si="6"/>
        <v>0</v>
      </c>
      <c r="N123" s="16" t="s">
        <v>602</v>
      </c>
      <c r="O123" s="5" t="s">
        <v>496</v>
      </c>
      <c r="P123" s="5" t="s">
        <v>499</v>
      </c>
      <c r="Q123" s="5" t="s">
        <v>506</v>
      </c>
      <c r="R123" s="5"/>
      <c r="S123" s="5"/>
      <c r="T123" s="10">
        <v>46044</v>
      </c>
      <c r="U123" s="5"/>
    </row>
    <row r="124" spans="1:21" ht="105.75" thickBot="1" x14ac:dyDescent="0.3">
      <c r="A124" s="5" t="s">
        <v>494</v>
      </c>
      <c r="B124" s="14" t="s">
        <v>487</v>
      </c>
      <c r="C124" s="5" t="s">
        <v>275</v>
      </c>
      <c r="D124" s="5" t="str">
        <f>IF($C124="","",INDEX([1]PLAN_DESARROLLO!$B:$B,MATCH($C124,[1]PLAN_DESARROLLO!$A:$A,0)))</f>
        <v>2024257770020</v>
      </c>
      <c r="E124" s="5" t="str">
        <f>IF($C124="","",INDEX([1]PLAN_DESARROLLO!$C:$C,MATCH($C124,[1]PLAN_DESARROLLO!$A:$A,0)))</f>
        <v>POR EL SUPATÁ SOÑADO AVANZAMOS JUNTOS EN LA LÍNEA ESTRATÉGICA ECONÓMICA</v>
      </c>
      <c r="F124" s="14" t="s">
        <v>263</v>
      </c>
      <c r="G124" s="5" t="str">
        <f>IF($C124="","",INDEX([1]PLAN_DESARROLLO!$E:$E,MATCH($C124,[1]PLAN_DESARROLLO!$A:$A,0)))</f>
        <v xml:space="preserve">Implementar una campaña de estrategia para la promoción del turismo religioso </v>
      </c>
      <c r="H124" s="12">
        <v>0</v>
      </c>
      <c r="I124" s="12"/>
      <c r="J124" s="6" t="str">
        <f t="shared" si="5"/>
        <v/>
      </c>
      <c r="K124" s="8">
        <v>0</v>
      </c>
      <c r="L124" s="8">
        <v>0</v>
      </c>
      <c r="M124" s="6">
        <f t="shared" si="6"/>
        <v>0</v>
      </c>
      <c r="N124" s="16" t="s">
        <v>603</v>
      </c>
      <c r="O124" s="5" t="s">
        <v>496</v>
      </c>
      <c r="P124" s="5" t="s">
        <v>499</v>
      </c>
      <c r="Q124" s="5" t="s">
        <v>506</v>
      </c>
      <c r="R124" s="5"/>
      <c r="S124" s="5"/>
      <c r="T124" s="10">
        <v>46044</v>
      </c>
      <c r="U124" s="5"/>
    </row>
    <row r="125" spans="1:21" ht="105.75" thickBot="1" x14ac:dyDescent="0.3">
      <c r="A125" s="5" t="s">
        <v>498</v>
      </c>
      <c r="B125" s="14" t="s">
        <v>487</v>
      </c>
      <c r="C125" s="5" t="s">
        <v>275</v>
      </c>
      <c r="D125" s="5" t="str">
        <f>IF($C125="","",INDEX([1]PLAN_DESARROLLO!$B:$B,MATCH($C125,[1]PLAN_DESARROLLO!$A:$A,0)))</f>
        <v>2024257770020</v>
      </c>
      <c r="E125" s="5" t="str">
        <f>IF($C125="","",INDEX([1]PLAN_DESARROLLO!$C:$C,MATCH($C125,[1]PLAN_DESARROLLO!$A:$A,0)))</f>
        <v>POR EL SUPATÁ SOÑADO AVANZAMOS JUNTOS EN LA LÍNEA ESTRATÉGICA ECONÓMICA</v>
      </c>
      <c r="F125" s="14" t="s">
        <v>263</v>
      </c>
      <c r="G125" s="5" t="str">
        <f>IF($C125="","",INDEX([1]PLAN_DESARROLLO!$E:$E,MATCH($C125,[1]PLAN_DESARROLLO!$A:$A,0)))</f>
        <v xml:space="preserve">Implementar una campaña de estrategia para la promoción del turismo religioso </v>
      </c>
      <c r="H125" s="12">
        <v>1</v>
      </c>
      <c r="I125" s="12">
        <v>1</v>
      </c>
      <c r="J125" s="6">
        <f t="shared" si="5"/>
        <v>1</v>
      </c>
      <c r="K125" s="8">
        <v>0</v>
      </c>
      <c r="L125" s="8">
        <v>0</v>
      </c>
      <c r="M125" s="6">
        <f t="shared" si="6"/>
        <v>0</v>
      </c>
      <c r="N125" s="16" t="s">
        <v>604</v>
      </c>
      <c r="O125" s="5" t="s">
        <v>496</v>
      </c>
      <c r="P125" s="5" t="s">
        <v>499</v>
      </c>
      <c r="Q125" s="5" t="s">
        <v>506</v>
      </c>
      <c r="R125" s="5"/>
      <c r="S125" s="5"/>
      <c r="T125" s="10">
        <v>46044</v>
      </c>
      <c r="U125" s="5"/>
    </row>
    <row r="126" spans="1:21" ht="90.75" thickBot="1" x14ac:dyDescent="0.3">
      <c r="A126" s="5" t="s">
        <v>494</v>
      </c>
      <c r="B126" s="14" t="s">
        <v>487</v>
      </c>
      <c r="C126" s="5" t="s">
        <v>277</v>
      </c>
      <c r="D126" s="5" t="str">
        <f>IF($C126="","",INDEX([1]PLAN_DESARROLLO!$B:$B,MATCH($C126,[1]PLAN_DESARROLLO!$A:$A,0)))</f>
        <v>2024257770020</v>
      </c>
      <c r="E126" s="5" t="str">
        <f>IF($C126="","",INDEX([1]PLAN_DESARROLLO!$C:$C,MATCH($C126,[1]PLAN_DESARROLLO!$A:$A,0)))</f>
        <v>POR EL SUPATÁ SOÑADO AVANZAMOS JUNTOS EN LA LÍNEA ESTRATÉGICA ECONÓMICA</v>
      </c>
      <c r="F126" s="14" t="s">
        <v>263</v>
      </c>
      <c r="G126" s="5" t="str">
        <f>IF($C126="","",INDEX([1]PLAN_DESARROLLO!$E:$E,MATCH($C126,[1]PLAN_DESARROLLO!$A:$A,0)))</f>
        <v>gestionar proyectos para buscar apoyo en  mantenimiento, mejorameinto o construccion a zonas naturales de uso turístico</v>
      </c>
      <c r="H126" s="12">
        <v>1</v>
      </c>
      <c r="I126" s="12">
        <v>1</v>
      </c>
      <c r="J126" s="6">
        <f t="shared" si="5"/>
        <v>1</v>
      </c>
      <c r="K126" s="8">
        <v>0</v>
      </c>
      <c r="L126" s="8">
        <v>0</v>
      </c>
      <c r="M126" s="6">
        <f t="shared" si="6"/>
        <v>0</v>
      </c>
      <c r="N126" s="16" t="s">
        <v>605</v>
      </c>
      <c r="O126" s="5" t="s">
        <v>496</v>
      </c>
      <c r="P126" s="5" t="s">
        <v>499</v>
      </c>
      <c r="Q126" s="5" t="s">
        <v>506</v>
      </c>
      <c r="R126" s="5"/>
      <c r="S126" s="5"/>
      <c r="T126" s="10">
        <v>46044</v>
      </c>
      <c r="U126" s="5"/>
    </row>
    <row r="127" spans="1:21" ht="90.75" thickBot="1" x14ac:dyDescent="0.3">
      <c r="A127" s="5" t="s">
        <v>498</v>
      </c>
      <c r="B127" s="14" t="s">
        <v>487</v>
      </c>
      <c r="C127" s="5" t="s">
        <v>277</v>
      </c>
      <c r="D127" s="5" t="str">
        <f>IF($C127="","",INDEX([1]PLAN_DESARROLLO!$B:$B,MATCH($C127,[1]PLAN_DESARROLLO!$A:$A,0)))</f>
        <v>2024257770020</v>
      </c>
      <c r="E127" s="5" t="str">
        <f>IF($C127="","",INDEX([1]PLAN_DESARROLLO!$C:$C,MATCH($C127,[1]PLAN_DESARROLLO!$A:$A,0)))</f>
        <v>POR EL SUPATÁ SOÑADO AVANZAMOS JUNTOS EN LA LÍNEA ESTRATÉGICA ECONÓMICA</v>
      </c>
      <c r="F127" s="14" t="s">
        <v>263</v>
      </c>
      <c r="G127" s="5" t="str">
        <f>IF($C127="","",INDEX([1]PLAN_DESARROLLO!$E:$E,MATCH($C127,[1]PLAN_DESARROLLO!$A:$A,0)))</f>
        <v>gestionar proyectos para buscar apoyo en  mantenimiento, mejorameinto o construccion a zonas naturales de uso turístico</v>
      </c>
      <c r="H127" s="12">
        <v>1</v>
      </c>
      <c r="I127" s="12">
        <v>1</v>
      </c>
      <c r="J127" s="6">
        <f t="shared" si="5"/>
        <v>1</v>
      </c>
      <c r="K127" s="8">
        <v>0</v>
      </c>
      <c r="L127" s="8"/>
      <c r="M127" s="6" t="str">
        <f t="shared" si="6"/>
        <v/>
      </c>
      <c r="N127" s="16" t="s">
        <v>605</v>
      </c>
      <c r="O127" s="5" t="s">
        <v>496</v>
      </c>
      <c r="P127" s="5" t="s">
        <v>499</v>
      </c>
      <c r="Q127" s="5" t="s">
        <v>506</v>
      </c>
      <c r="R127" s="5"/>
      <c r="S127" s="5"/>
      <c r="T127" s="10">
        <v>46044</v>
      </c>
      <c r="U127" s="5"/>
    </row>
    <row r="128" spans="1:21" ht="135.75" thickBot="1" x14ac:dyDescent="0.3">
      <c r="A128" s="5" t="s">
        <v>494</v>
      </c>
      <c r="B128" s="14" t="s">
        <v>487</v>
      </c>
      <c r="C128" s="5" t="s">
        <v>279</v>
      </c>
      <c r="D128" s="5" t="str">
        <f>IF($C128="","",INDEX([1]PLAN_DESARROLLO!$B:$B,MATCH($C128,[1]PLAN_DESARROLLO!$A:$A,0)))</f>
        <v>2024257770020</v>
      </c>
      <c r="E128" s="5" t="str">
        <f>IF($C128="","",INDEX([1]PLAN_DESARROLLO!$C:$C,MATCH($C128,[1]PLAN_DESARROLLO!$A:$A,0)))</f>
        <v>POR EL SUPATÁ SOÑADO AVANZAMOS JUNTOS EN LA LÍNEA ESTRATÉGICA ECONÓMICA</v>
      </c>
      <c r="F128" s="14" t="s">
        <v>263</v>
      </c>
      <c r="G128" s="5" t="str">
        <f>IF($C128="","",INDEX([1]PLAN_DESARROLLO!$E:$E,MATCH($C128,[1]PLAN_DESARROLLO!$A:$A,0)))</f>
        <v>Apoyar anualmente la asociatividad productiva y comercial en el municipio</v>
      </c>
      <c r="H128" s="12">
        <v>1</v>
      </c>
      <c r="I128" s="12">
        <v>1</v>
      </c>
      <c r="J128" s="6">
        <f t="shared" si="5"/>
        <v>1</v>
      </c>
      <c r="K128" s="8">
        <v>0</v>
      </c>
      <c r="L128" s="8">
        <v>0</v>
      </c>
      <c r="M128" s="6">
        <f t="shared" si="6"/>
        <v>0</v>
      </c>
      <c r="N128" s="16" t="s">
        <v>606</v>
      </c>
      <c r="O128" s="5" t="s">
        <v>496</v>
      </c>
      <c r="P128" s="5" t="s">
        <v>499</v>
      </c>
      <c r="Q128" s="5" t="s">
        <v>506</v>
      </c>
      <c r="R128" s="5"/>
      <c r="S128" s="5"/>
      <c r="T128" s="10">
        <v>46044</v>
      </c>
      <c r="U128" s="5"/>
    </row>
    <row r="129" spans="1:21" ht="135.75" thickBot="1" x14ac:dyDescent="0.3">
      <c r="A129" s="5" t="s">
        <v>498</v>
      </c>
      <c r="B129" s="14" t="s">
        <v>487</v>
      </c>
      <c r="C129" s="5" t="s">
        <v>279</v>
      </c>
      <c r="D129" s="5" t="str">
        <f>IF($C129="","",INDEX([1]PLAN_DESARROLLO!$B:$B,MATCH($C129,[1]PLAN_DESARROLLO!$A:$A,0)))</f>
        <v>2024257770020</v>
      </c>
      <c r="E129" s="5" t="str">
        <f>IF($C129="","",INDEX([1]PLAN_DESARROLLO!$C:$C,MATCH($C129,[1]PLAN_DESARROLLO!$A:$A,0)))</f>
        <v>POR EL SUPATÁ SOÑADO AVANZAMOS JUNTOS EN LA LÍNEA ESTRATÉGICA ECONÓMICA</v>
      </c>
      <c r="F129" s="14" t="s">
        <v>263</v>
      </c>
      <c r="G129" s="5" t="str">
        <f>IF($C129="","",INDEX([1]PLAN_DESARROLLO!$E:$E,MATCH($C129,[1]PLAN_DESARROLLO!$A:$A,0)))</f>
        <v>Apoyar anualmente la asociatividad productiva y comercial en el municipio</v>
      </c>
      <c r="H129" s="12">
        <v>1</v>
      </c>
      <c r="I129" s="12">
        <v>1</v>
      </c>
      <c r="J129" s="6">
        <f t="shared" si="5"/>
        <v>1</v>
      </c>
      <c r="K129" s="8">
        <v>0</v>
      </c>
      <c r="L129" s="8">
        <v>0</v>
      </c>
      <c r="M129" s="6">
        <f t="shared" si="6"/>
        <v>0</v>
      </c>
      <c r="N129" s="16" t="s">
        <v>606</v>
      </c>
      <c r="O129" s="5" t="s">
        <v>496</v>
      </c>
      <c r="P129" s="5" t="s">
        <v>499</v>
      </c>
      <c r="Q129" s="5" t="s">
        <v>506</v>
      </c>
      <c r="R129" s="5"/>
      <c r="S129" s="5"/>
      <c r="T129" s="10">
        <v>46044</v>
      </c>
      <c r="U129" s="5"/>
    </row>
    <row r="130" spans="1:21" ht="45" x14ac:dyDescent="0.25">
      <c r="A130" s="5" t="s">
        <v>494</v>
      </c>
      <c r="B130" s="14" t="s">
        <v>487</v>
      </c>
      <c r="C130" s="5" t="s">
        <v>305</v>
      </c>
      <c r="D130" s="5" t="str">
        <f>IF($C130="","",INDEX([1]PLAN_DESARROLLO!$B:$B,MATCH($C130,[1]PLAN_DESARROLLO!$A:$A,0)))</f>
        <v>2024257770023</v>
      </c>
      <c r="E130" s="5" t="str">
        <f>IF($C130="","",INDEX([1]PLAN_DESARROLLO!$C:$C,MATCH($C130,[1]PLAN_DESARROLLO!$A:$A,0)))</f>
        <v>POR EL SUPATÁ SOÑADO AVANZAMOS JUNTOS EN LA LÍNEA ESTRATÉGICA ECONÓMICA</v>
      </c>
      <c r="F130" s="14" t="str">
        <f>IF($C130="","",INDEX([1]PLAN_DESARROLLO!$D:$D,MATCH($C130,[1]PLAN_DESARROLLO!$A:$A,0)))</f>
        <v>AGROPECUARIO</v>
      </c>
      <c r="G130" s="5" t="str">
        <f>IF($C130="","",INDEX([1]PLAN_DESARROLLO!$E:$E,MATCH($C130,[1]PLAN_DESARROLLO!$A:$A,0)))</f>
        <v>Apoyo   (2) proyectos productivos que me garanticen el uso eficiente en ganaderia y uso del suelo.</v>
      </c>
      <c r="H130" s="12">
        <v>0</v>
      </c>
      <c r="I130" s="12"/>
      <c r="J130" s="6" t="str">
        <f t="shared" si="5"/>
        <v/>
      </c>
      <c r="K130" s="8">
        <v>8000000</v>
      </c>
      <c r="L130" s="8">
        <v>0</v>
      </c>
      <c r="M130" s="6">
        <f t="shared" si="6"/>
        <v>0</v>
      </c>
      <c r="N130" s="5"/>
      <c r="O130" s="5"/>
      <c r="P130" s="5" t="s">
        <v>499</v>
      </c>
      <c r="Q130" s="5" t="s">
        <v>506</v>
      </c>
      <c r="R130" s="5"/>
      <c r="S130" s="5"/>
      <c r="T130" s="10">
        <v>46036</v>
      </c>
      <c r="U130" s="5"/>
    </row>
    <row r="131" spans="1:21" ht="75" x14ac:dyDescent="0.25">
      <c r="A131" s="5" t="s">
        <v>498</v>
      </c>
      <c r="B131" s="14" t="s">
        <v>487</v>
      </c>
      <c r="C131" s="5" t="s">
        <v>305</v>
      </c>
      <c r="D131" s="5" t="str">
        <f>IF($C131="","",INDEX([1]PLAN_DESARROLLO!$B:$B,MATCH($C131,[1]PLAN_DESARROLLO!$A:$A,0)))</f>
        <v>2024257770023</v>
      </c>
      <c r="E131" s="5" t="str">
        <f>IF($C131="","",INDEX([1]PLAN_DESARROLLO!$C:$C,MATCH($C131,[1]PLAN_DESARROLLO!$A:$A,0)))</f>
        <v>POR EL SUPATÁ SOÑADO AVANZAMOS JUNTOS EN LA LÍNEA ESTRATÉGICA ECONÓMICA</v>
      </c>
      <c r="F131" s="14" t="str">
        <f>IF($C131="","",INDEX([1]PLAN_DESARROLLO!$D:$D,MATCH($C131,[1]PLAN_DESARROLLO!$A:$A,0)))</f>
        <v>AGROPECUARIO</v>
      </c>
      <c r="G131" s="5" t="str">
        <f>IF($C131="","",INDEX([1]PLAN_DESARROLLO!$E:$E,MATCH($C131,[1]PLAN_DESARROLLO!$A:$A,0)))</f>
        <v>Apoyo   (2) proyectos productivos que me garanticen el uso eficiente en ganaderia y uso del suelo.</v>
      </c>
      <c r="H131" s="12">
        <v>1</v>
      </c>
      <c r="I131" s="12">
        <v>1</v>
      </c>
      <c r="J131" s="6">
        <f t="shared" si="5"/>
        <v>1</v>
      </c>
      <c r="K131" s="8">
        <v>8000000</v>
      </c>
      <c r="L131" s="8">
        <v>8000000</v>
      </c>
      <c r="M131" s="6">
        <f t="shared" si="6"/>
        <v>1</v>
      </c>
      <c r="N131" s="5" t="s">
        <v>607</v>
      </c>
      <c r="O131" s="5" t="s">
        <v>496</v>
      </c>
      <c r="P131" s="5" t="s">
        <v>502</v>
      </c>
      <c r="Q131" s="5" t="s">
        <v>506</v>
      </c>
      <c r="R131" s="5"/>
      <c r="S131" s="5"/>
      <c r="T131" s="10">
        <v>46036</v>
      </c>
      <c r="U131" s="5"/>
    </row>
    <row r="132" spans="1:21" ht="45" x14ac:dyDescent="0.25">
      <c r="A132" s="5" t="s">
        <v>494</v>
      </c>
      <c r="B132" s="14" t="s">
        <v>487</v>
      </c>
      <c r="C132" s="5" t="s">
        <v>309</v>
      </c>
      <c r="D132" s="5" t="str">
        <f>IF($C132="","",INDEX([1]PLAN_DESARROLLO!$B:$B,MATCH($C132,[1]PLAN_DESARROLLO!$A:$A,0)))</f>
        <v>2024257770023</v>
      </c>
      <c r="E132" s="5" t="str">
        <f>IF($C132="","",INDEX([1]PLAN_DESARROLLO!$C:$C,MATCH($C132,[1]PLAN_DESARROLLO!$A:$A,0)))</f>
        <v>POR EL SUPATÁ SOÑADO AVANZAMOS JUNTOS EN LA LÍNEA ESTRATÉGICA ECONÓMICA</v>
      </c>
      <c r="F132" s="14" t="str">
        <f>IF($C132="","",INDEX([1]PLAN_DESARROLLO!$D:$D,MATCH($C132,[1]PLAN_DESARROLLO!$A:$A,0)))</f>
        <v>AGROPECUARIO</v>
      </c>
      <c r="G132" s="5" t="str">
        <f>IF($C132="","",INDEX([1]PLAN_DESARROLLO!$E:$E,MATCH($C132,[1]PLAN_DESARROLLO!$A:$A,0)))</f>
        <v>Realizar 400 visitas  técnicas solicitada a los sistemas de producción agricolas</v>
      </c>
      <c r="H132" s="12">
        <v>100</v>
      </c>
      <c r="I132" s="12">
        <v>150</v>
      </c>
      <c r="J132" s="6">
        <f t="shared" si="5"/>
        <v>1.5</v>
      </c>
      <c r="K132" s="8">
        <v>0</v>
      </c>
      <c r="L132" s="8">
        <v>0</v>
      </c>
      <c r="M132" s="6">
        <f t="shared" si="6"/>
        <v>0</v>
      </c>
      <c r="N132" s="5" t="s">
        <v>608</v>
      </c>
      <c r="O132" s="5" t="s">
        <v>496</v>
      </c>
      <c r="P132" s="5" t="s">
        <v>499</v>
      </c>
      <c r="Q132" s="5" t="s">
        <v>506</v>
      </c>
      <c r="R132" s="5"/>
      <c r="S132" s="5"/>
      <c r="T132" s="10">
        <v>46036</v>
      </c>
      <c r="U132" s="5"/>
    </row>
    <row r="133" spans="1:21" ht="45" x14ac:dyDescent="0.25">
      <c r="A133" s="5" t="s">
        <v>498</v>
      </c>
      <c r="B133" s="14" t="s">
        <v>487</v>
      </c>
      <c r="C133" s="5" t="s">
        <v>309</v>
      </c>
      <c r="D133" s="5" t="str">
        <f>IF($C133="","",INDEX([1]PLAN_DESARROLLO!$B:$B,MATCH($C133,[1]PLAN_DESARROLLO!$A:$A,0)))</f>
        <v>2024257770023</v>
      </c>
      <c r="E133" s="5" t="str">
        <f>IF($C133="","",INDEX([1]PLAN_DESARROLLO!$C:$C,MATCH($C133,[1]PLAN_DESARROLLO!$A:$A,0)))</f>
        <v>POR EL SUPATÁ SOÑADO AVANZAMOS JUNTOS EN LA LÍNEA ESTRATÉGICA ECONÓMICA</v>
      </c>
      <c r="F133" s="14" t="str">
        <f>IF($C133="","",INDEX([1]PLAN_DESARROLLO!$D:$D,MATCH($C133,[1]PLAN_DESARROLLO!$A:$A,0)))</f>
        <v>AGROPECUARIO</v>
      </c>
      <c r="G133" s="5" t="str">
        <f>IF($C133="","",INDEX([1]PLAN_DESARROLLO!$E:$E,MATCH($C133,[1]PLAN_DESARROLLO!$A:$A,0)))</f>
        <v>Realizar 400 visitas  técnicas solicitada a los sistemas de producción agricolas</v>
      </c>
      <c r="H133" s="12">
        <v>100</v>
      </c>
      <c r="I133" s="12">
        <v>150</v>
      </c>
      <c r="J133" s="6">
        <f t="shared" si="5"/>
        <v>1.5</v>
      </c>
      <c r="K133" s="8">
        <v>0</v>
      </c>
      <c r="L133" s="8">
        <v>0</v>
      </c>
      <c r="M133" s="6">
        <f t="shared" si="6"/>
        <v>0</v>
      </c>
      <c r="N133" s="5" t="s">
        <v>608</v>
      </c>
      <c r="O133" s="5" t="s">
        <v>496</v>
      </c>
      <c r="P133" s="5" t="s">
        <v>499</v>
      </c>
      <c r="Q133" s="5" t="s">
        <v>506</v>
      </c>
      <c r="R133" s="5"/>
      <c r="S133" s="5"/>
      <c r="T133" s="10">
        <v>46036</v>
      </c>
      <c r="U133" s="5"/>
    </row>
    <row r="134" spans="1:21" ht="45" x14ac:dyDescent="0.25">
      <c r="A134" s="5" t="s">
        <v>494</v>
      </c>
      <c r="B134" s="14" t="s">
        <v>487</v>
      </c>
      <c r="C134" s="5" t="s">
        <v>311</v>
      </c>
      <c r="D134" s="5" t="str">
        <f>IF($C134="","",INDEX([1]PLAN_DESARROLLO!$B:$B,MATCH($C134,[1]PLAN_DESARROLLO!$A:$A,0)))</f>
        <v>2024257770023</v>
      </c>
      <c r="E134" s="5" t="str">
        <f>IF($C134="","",INDEX([1]PLAN_DESARROLLO!$C:$C,MATCH($C134,[1]PLAN_DESARROLLO!$A:$A,0)))</f>
        <v>POR EL SUPATÁ SOÑADO AVANZAMOS JUNTOS EN LA LÍNEA ESTRATÉGICA ECONÓMICA</v>
      </c>
      <c r="F134" s="14" t="str">
        <f>IF($C134="","",INDEX([1]PLAN_DESARROLLO!$D:$D,MATCH($C134,[1]PLAN_DESARROLLO!$A:$A,0)))</f>
        <v>AGROPECUARIO</v>
      </c>
      <c r="G134" s="5" t="str">
        <f>IF($C134="","",INDEX([1]PLAN_DESARROLLO!$E:$E,MATCH($C134,[1]PLAN_DESARROLLO!$A:$A,0)))</f>
        <v>Implementar 80 huertas y huertos  caseras</v>
      </c>
      <c r="H134" s="12">
        <v>20</v>
      </c>
      <c r="I134" s="12">
        <v>35</v>
      </c>
      <c r="J134" s="6">
        <f t="shared" ref="J134:J197" si="8">IF(OR($H134="",$I134=""),"",IFERROR($I134/$H134,0))</f>
        <v>1.75</v>
      </c>
      <c r="K134" s="8">
        <v>6000000</v>
      </c>
      <c r="L134" s="8">
        <v>6000000</v>
      </c>
      <c r="M134" s="6">
        <f t="shared" ref="M134:M197" si="9">IF(OR($K134="",$L134=""),"",IFERROR($L134/$K134,0))</f>
        <v>1</v>
      </c>
      <c r="N134" s="5" t="s">
        <v>609</v>
      </c>
      <c r="O134" s="5" t="s">
        <v>496</v>
      </c>
      <c r="P134" s="5" t="s">
        <v>499</v>
      </c>
      <c r="Q134" s="5" t="s">
        <v>501</v>
      </c>
      <c r="R134" s="5"/>
      <c r="S134" s="5"/>
      <c r="T134" s="10">
        <v>46036</v>
      </c>
      <c r="U134" s="5"/>
    </row>
    <row r="135" spans="1:21" ht="45" x14ac:dyDescent="0.25">
      <c r="A135" s="5" t="s">
        <v>498</v>
      </c>
      <c r="B135" s="14" t="s">
        <v>487</v>
      </c>
      <c r="C135" s="5" t="s">
        <v>311</v>
      </c>
      <c r="D135" s="5" t="str">
        <f>IF($C135="","",INDEX([1]PLAN_DESARROLLO!$B:$B,MATCH($C135,[1]PLAN_DESARROLLO!$A:$A,0)))</f>
        <v>2024257770023</v>
      </c>
      <c r="E135" s="5" t="str">
        <f>IF($C135="","",INDEX([1]PLAN_DESARROLLO!$C:$C,MATCH($C135,[1]PLAN_DESARROLLO!$A:$A,0)))</f>
        <v>POR EL SUPATÁ SOÑADO AVANZAMOS JUNTOS EN LA LÍNEA ESTRATÉGICA ECONÓMICA</v>
      </c>
      <c r="F135" s="14" t="str">
        <f>IF($C135="","",INDEX([1]PLAN_DESARROLLO!$D:$D,MATCH($C135,[1]PLAN_DESARROLLO!$A:$A,0)))</f>
        <v>AGROPECUARIO</v>
      </c>
      <c r="G135" s="5" t="str">
        <f>IF($C135="","",INDEX([1]PLAN_DESARROLLO!$E:$E,MATCH($C135,[1]PLAN_DESARROLLO!$A:$A,0)))</f>
        <v>Implementar 80 huertas y huertos  caseras</v>
      </c>
      <c r="H135" s="12">
        <v>20</v>
      </c>
      <c r="I135" s="12">
        <v>35</v>
      </c>
      <c r="J135" s="6">
        <f t="shared" si="8"/>
        <v>1.75</v>
      </c>
      <c r="K135" s="8">
        <v>6000000</v>
      </c>
      <c r="L135" s="8">
        <v>6000000</v>
      </c>
      <c r="M135" s="6">
        <f t="shared" si="9"/>
        <v>1</v>
      </c>
      <c r="N135" s="5" t="s">
        <v>610</v>
      </c>
      <c r="O135" s="5" t="s">
        <v>514</v>
      </c>
      <c r="P135" s="5" t="s">
        <v>499</v>
      </c>
      <c r="Q135" s="5" t="s">
        <v>501</v>
      </c>
      <c r="R135" s="5"/>
      <c r="S135" s="5"/>
      <c r="T135" s="10">
        <v>46036</v>
      </c>
      <c r="U135" s="5"/>
    </row>
    <row r="136" spans="1:21" ht="45" x14ac:dyDescent="0.25">
      <c r="A136" s="5" t="s">
        <v>494</v>
      </c>
      <c r="B136" s="14" t="s">
        <v>487</v>
      </c>
      <c r="C136" s="5" t="s">
        <v>313</v>
      </c>
      <c r="D136" s="5" t="str">
        <f>IF($C136="","",INDEX([1]PLAN_DESARROLLO!$B:$B,MATCH($C136,[1]PLAN_DESARROLLO!$A:$A,0)))</f>
        <v>2024257770023</v>
      </c>
      <c r="E136" s="5" t="str">
        <f>IF($C136="","",INDEX([1]PLAN_DESARROLLO!$C:$C,MATCH($C136,[1]PLAN_DESARROLLO!$A:$A,0)))</f>
        <v>POR EL SUPATÁ SOÑADO AVANZAMOS JUNTOS EN LA LÍNEA ESTRATÉGICA ECONÓMICA</v>
      </c>
      <c r="F136" s="14" t="str">
        <f>IF($C136="","",INDEX([1]PLAN_DESARROLLO!$D:$D,MATCH($C136,[1]PLAN_DESARROLLO!$A:$A,0)))</f>
        <v>AGROPECUARIO</v>
      </c>
      <c r="G136" s="5" t="str">
        <f>IF($C136="","",INDEX([1]PLAN_DESARROLLO!$E:$E,MATCH($C136,[1]PLAN_DESARROLLO!$A:$A,0)))</f>
        <v>Apoyo a  20  pequeños productores cafeteros del municipio para aumentar las áreas de siembra, mejorar la capacidad productiva y competitividad, en el cuatrenio</v>
      </c>
      <c r="H136" s="12">
        <v>10</v>
      </c>
      <c r="I136" s="12">
        <v>15</v>
      </c>
      <c r="J136" s="6">
        <f t="shared" si="8"/>
        <v>1.5</v>
      </c>
      <c r="K136" s="8">
        <v>0</v>
      </c>
      <c r="L136" s="8">
        <v>0</v>
      </c>
      <c r="M136" s="6">
        <f t="shared" si="9"/>
        <v>0</v>
      </c>
      <c r="N136" s="5" t="s">
        <v>611</v>
      </c>
      <c r="O136" s="5" t="s">
        <v>496</v>
      </c>
      <c r="P136" s="5" t="s">
        <v>499</v>
      </c>
      <c r="Q136" s="5" t="s">
        <v>501</v>
      </c>
      <c r="R136" s="5"/>
      <c r="S136" s="5"/>
      <c r="T136" s="10">
        <v>46036</v>
      </c>
      <c r="U136" s="5"/>
    </row>
    <row r="137" spans="1:21" ht="60" x14ac:dyDescent="0.25">
      <c r="A137" s="5" t="s">
        <v>498</v>
      </c>
      <c r="B137" s="14" t="s">
        <v>487</v>
      </c>
      <c r="C137" s="5" t="s">
        <v>313</v>
      </c>
      <c r="D137" s="5" t="str">
        <f>IF($C137="","",INDEX([1]PLAN_DESARROLLO!$B:$B,MATCH($C137,[1]PLAN_DESARROLLO!$A:$A,0)))</f>
        <v>2024257770023</v>
      </c>
      <c r="E137" s="5" t="str">
        <f>IF($C137="","",INDEX([1]PLAN_DESARROLLO!$C:$C,MATCH($C137,[1]PLAN_DESARROLLO!$A:$A,0)))</f>
        <v>POR EL SUPATÁ SOÑADO AVANZAMOS JUNTOS EN LA LÍNEA ESTRATÉGICA ECONÓMICA</v>
      </c>
      <c r="F137" s="14" t="str">
        <f>IF($C137="","",INDEX([1]PLAN_DESARROLLO!$D:$D,MATCH($C137,[1]PLAN_DESARROLLO!$A:$A,0)))</f>
        <v>AGROPECUARIO</v>
      </c>
      <c r="G137" s="5" t="str">
        <f>IF($C137="","",INDEX([1]PLAN_DESARROLLO!$E:$E,MATCH($C137,[1]PLAN_DESARROLLO!$A:$A,0)))</f>
        <v>Apoyo a  20  pequeños productores cafeteros del municipio para aumentar las áreas de siembra, mejorar la capacidad productiva y competitividad, en el cuatrenio</v>
      </c>
      <c r="H137" s="12">
        <v>10</v>
      </c>
      <c r="I137" s="12">
        <v>15</v>
      </c>
      <c r="J137" s="6">
        <f t="shared" si="8"/>
        <v>1.5</v>
      </c>
      <c r="K137" s="8">
        <v>0</v>
      </c>
      <c r="L137" s="8">
        <v>0</v>
      </c>
      <c r="M137" s="6">
        <f t="shared" si="9"/>
        <v>0</v>
      </c>
      <c r="N137" s="5" t="s">
        <v>612</v>
      </c>
      <c r="O137" s="5" t="s">
        <v>514</v>
      </c>
      <c r="P137" s="5" t="s">
        <v>502</v>
      </c>
      <c r="Q137" s="5" t="s">
        <v>501</v>
      </c>
      <c r="R137" s="5"/>
      <c r="S137" s="5"/>
      <c r="T137" s="10">
        <v>46036</v>
      </c>
      <c r="U137" s="5"/>
    </row>
    <row r="138" spans="1:21" ht="75" x14ac:dyDescent="0.25">
      <c r="A138" s="5" t="s">
        <v>494</v>
      </c>
      <c r="B138" s="14" t="s">
        <v>487</v>
      </c>
      <c r="C138" s="5" t="s">
        <v>315</v>
      </c>
      <c r="D138" s="5" t="str">
        <f>IF($C138="","",INDEX([1]PLAN_DESARROLLO!$B:$B,MATCH($C138,[1]PLAN_DESARROLLO!$A:$A,0)))</f>
        <v>2024257770023</v>
      </c>
      <c r="E138" s="5" t="str">
        <f>IF($C138="","",INDEX([1]PLAN_DESARROLLO!$C:$C,MATCH($C138,[1]PLAN_DESARROLLO!$A:$A,0)))</f>
        <v>POR EL SUPATÁ SOÑADO AVANZAMOS JUNTOS EN LA LÍNEA ESTRATÉGICA ECONÓMICA</v>
      </c>
      <c r="F138" s="14" t="str">
        <f>IF($C138="","",INDEX([1]PLAN_DESARROLLO!$D:$D,MATCH($C138,[1]PLAN_DESARROLLO!$A:$A,0)))</f>
        <v>AGROPECUARIO</v>
      </c>
      <c r="G138" s="5" t="str">
        <f>IF($C138="","",INDEX([1]PLAN_DESARROLLO!$E:$E,MATCH($C138,[1]PLAN_DESARROLLO!$A:$A,0)))</f>
        <v>Fortalecer  el Programa de Mercados Campesinos para aumentar la comercializacion de los productos agropecuarios</v>
      </c>
      <c r="H138" s="12">
        <v>1</v>
      </c>
      <c r="I138" s="12">
        <v>1</v>
      </c>
      <c r="J138" s="6">
        <f t="shared" si="8"/>
        <v>1</v>
      </c>
      <c r="K138" s="8">
        <v>0</v>
      </c>
      <c r="L138" s="8">
        <v>0</v>
      </c>
      <c r="M138" s="6">
        <f t="shared" si="9"/>
        <v>0</v>
      </c>
      <c r="N138" s="5" t="s">
        <v>613</v>
      </c>
      <c r="O138" s="5" t="s">
        <v>496</v>
      </c>
      <c r="P138" s="5" t="s">
        <v>499</v>
      </c>
      <c r="Q138" s="5" t="s">
        <v>506</v>
      </c>
      <c r="R138" s="5"/>
      <c r="S138" s="5"/>
      <c r="T138" s="10">
        <v>46036</v>
      </c>
      <c r="U138" s="5"/>
    </row>
    <row r="139" spans="1:21" ht="90" x14ac:dyDescent="0.25">
      <c r="A139" s="5" t="s">
        <v>498</v>
      </c>
      <c r="B139" s="14" t="s">
        <v>487</v>
      </c>
      <c r="C139" s="5" t="s">
        <v>315</v>
      </c>
      <c r="D139" s="5" t="str">
        <f>IF($C139="","",INDEX([1]PLAN_DESARROLLO!$B:$B,MATCH($C139,[1]PLAN_DESARROLLO!$A:$A,0)))</f>
        <v>2024257770023</v>
      </c>
      <c r="E139" s="5" t="str">
        <f>IF($C139="","",INDEX([1]PLAN_DESARROLLO!$C:$C,MATCH($C139,[1]PLAN_DESARROLLO!$A:$A,0)))</f>
        <v>POR EL SUPATÁ SOÑADO AVANZAMOS JUNTOS EN LA LÍNEA ESTRATÉGICA ECONÓMICA</v>
      </c>
      <c r="F139" s="14" t="str">
        <f>IF($C139="","",INDEX([1]PLAN_DESARROLLO!$D:$D,MATCH($C139,[1]PLAN_DESARROLLO!$A:$A,0)))</f>
        <v>AGROPECUARIO</v>
      </c>
      <c r="G139" s="5" t="str">
        <f>IF($C139="","",INDEX([1]PLAN_DESARROLLO!$E:$E,MATCH($C139,[1]PLAN_DESARROLLO!$A:$A,0)))</f>
        <v>Fortalecer  el Programa de Mercados Campesinos para aumentar la comercializacion de los productos agropecuarios</v>
      </c>
      <c r="H139" s="12">
        <v>1</v>
      </c>
      <c r="I139" s="12">
        <v>1</v>
      </c>
      <c r="J139" s="6">
        <f t="shared" si="8"/>
        <v>1</v>
      </c>
      <c r="K139" s="8">
        <v>0</v>
      </c>
      <c r="L139" s="8">
        <v>0</v>
      </c>
      <c r="M139" s="6">
        <f t="shared" si="9"/>
        <v>0</v>
      </c>
      <c r="N139" s="5" t="s">
        <v>614</v>
      </c>
      <c r="O139" s="5" t="s">
        <v>496</v>
      </c>
      <c r="P139" s="5" t="s">
        <v>499</v>
      </c>
      <c r="Q139" s="5" t="s">
        <v>506</v>
      </c>
      <c r="R139" s="5"/>
      <c r="S139" s="5"/>
      <c r="T139" s="10">
        <v>46036</v>
      </c>
      <c r="U139" s="5"/>
    </row>
    <row r="140" spans="1:21" ht="105" x14ac:dyDescent="0.25">
      <c r="A140" s="5" t="s">
        <v>494</v>
      </c>
      <c r="B140" s="14" t="s">
        <v>487</v>
      </c>
      <c r="C140" s="5" t="s">
        <v>317</v>
      </c>
      <c r="D140" s="5" t="str">
        <f>IF($C140="","",INDEX([1]PLAN_DESARROLLO!$B:$B,MATCH($C140,[1]PLAN_DESARROLLO!$A:$A,0)))</f>
        <v>2024257770023</v>
      </c>
      <c r="E140" s="5" t="str">
        <f>IF($C140="","",INDEX([1]PLAN_DESARROLLO!$C:$C,MATCH($C140,[1]PLAN_DESARROLLO!$A:$A,0)))</f>
        <v>POR EL SUPATÁ SOÑADO AVANZAMOS JUNTOS EN LA LÍNEA ESTRATÉGICA ECONÓMICA</v>
      </c>
      <c r="F140" s="14" t="str">
        <f>IF($C140="","",INDEX([1]PLAN_DESARROLLO!$D:$D,MATCH($C140,[1]PLAN_DESARROLLO!$A:$A,0)))</f>
        <v>AGROPECUARIO</v>
      </c>
      <c r="G140" s="5" t="str">
        <f>IF($C140="","",INDEX([1]PLAN_DESARROLLO!$E:$E,MATCH($C140,[1]PLAN_DESARROLLO!$A:$A,0)))</f>
        <v>Apoyar a 20 usuarios en la implementacion de sistemas de producción pecuaria con especies menores.</v>
      </c>
      <c r="H140" s="12">
        <v>4</v>
      </c>
      <c r="I140" s="12">
        <v>5</v>
      </c>
      <c r="J140" s="6">
        <f t="shared" si="8"/>
        <v>1.25</v>
      </c>
      <c r="K140" s="8">
        <v>18000000</v>
      </c>
      <c r="L140" s="8">
        <v>18000000</v>
      </c>
      <c r="M140" s="8">
        <v>18000000</v>
      </c>
      <c r="N140" s="5" t="s">
        <v>615</v>
      </c>
      <c r="O140" s="5" t="s">
        <v>496</v>
      </c>
      <c r="P140" s="5" t="s">
        <v>499</v>
      </c>
      <c r="Q140" s="5" t="s">
        <v>506</v>
      </c>
      <c r="R140" s="5"/>
      <c r="S140" s="5"/>
      <c r="T140" s="10">
        <v>46036</v>
      </c>
      <c r="U140" s="5"/>
    </row>
    <row r="141" spans="1:21" ht="105" x14ac:dyDescent="0.25">
      <c r="A141" s="5" t="s">
        <v>498</v>
      </c>
      <c r="B141" s="14" t="s">
        <v>487</v>
      </c>
      <c r="C141" s="5" t="s">
        <v>317</v>
      </c>
      <c r="D141" s="5" t="str">
        <f>IF($C141="","",INDEX([1]PLAN_DESARROLLO!$B:$B,MATCH($C141,[1]PLAN_DESARROLLO!$A:$A,0)))</f>
        <v>2024257770023</v>
      </c>
      <c r="E141" s="5" t="str">
        <f>IF($C141="","",INDEX([1]PLAN_DESARROLLO!$C:$C,MATCH($C141,[1]PLAN_DESARROLLO!$A:$A,0)))</f>
        <v>POR EL SUPATÁ SOÑADO AVANZAMOS JUNTOS EN LA LÍNEA ESTRATÉGICA ECONÓMICA</v>
      </c>
      <c r="F141" s="14" t="str">
        <f>IF($C141="","",INDEX([1]PLAN_DESARROLLO!$D:$D,MATCH($C141,[1]PLAN_DESARROLLO!$A:$A,0)))</f>
        <v>AGROPECUARIO</v>
      </c>
      <c r="G141" s="5" t="str">
        <f>IF($C141="","",INDEX([1]PLAN_DESARROLLO!$E:$E,MATCH($C141,[1]PLAN_DESARROLLO!$A:$A,0)))</f>
        <v>Apoyar a 20 usuarios en la implementacion de sistemas de producción pecuaria con especies menores.</v>
      </c>
      <c r="H141" s="12">
        <v>5</v>
      </c>
      <c r="I141" s="12">
        <v>6</v>
      </c>
      <c r="J141" s="6">
        <f t="shared" si="8"/>
        <v>1.2</v>
      </c>
      <c r="K141" s="8">
        <v>18000000</v>
      </c>
      <c r="L141" s="8">
        <v>18000000</v>
      </c>
      <c r="M141" s="6">
        <f t="shared" si="9"/>
        <v>1</v>
      </c>
      <c r="N141" s="5" t="s">
        <v>615</v>
      </c>
      <c r="O141" s="5" t="s">
        <v>496</v>
      </c>
      <c r="P141" s="5" t="s">
        <v>499</v>
      </c>
      <c r="Q141" s="5" t="s">
        <v>506</v>
      </c>
      <c r="R141" s="5"/>
      <c r="S141" s="5"/>
      <c r="T141" s="10">
        <v>46036</v>
      </c>
      <c r="U141" s="5"/>
    </row>
    <row r="142" spans="1:21" ht="90" x14ac:dyDescent="0.25">
      <c r="A142" s="5" t="s">
        <v>494</v>
      </c>
      <c r="B142" s="14" t="s">
        <v>487</v>
      </c>
      <c r="C142" s="5" t="s">
        <v>319</v>
      </c>
      <c r="D142" s="5" t="str">
        <f>IF($C142="","",INDEX([1]PLAN_DESARROLLO!$B:$B,MATCH($C142,[1]PLAN_DESARROLLO!$A:$A,0)))</f>
        <v>2024257770023</v>
      </c>
      <c r="E142" s="5" t="str">
        <f>IF($C142="","",INDEX([1]PLAN_DESARROLLO!$C:$C,MATCH($C142,[1]PLAN_DESARROLLO!$A:$A,0)))</f>
        <v>POR EL SUPATÁ SOÑADO AVANZAMOS JUNTOS EN LA LÍNEA ESTRATÉGICA ECONÓMICA</v>
      </c>
      <c r="F142" s="14" t="str">
        <f>IF($C142="","",INDEX([1]PLAN_DESARROLLO!$D:$D,MATCH($C142,[1]PLAN_DESARROLLO!$A:$A,0)))</f>
        <v>AGROPECUARIO</v>
      </c>
      <c r="G142" s="5" t="str">
        <f>IF($C142="","",INDEX([1]PLAN_DESARROLLO!$E:$E,MATCH($C142,[1]PLAN_DESARROLLO!$A:$A,0)))</f>
        <v>Fortalecer anualmente las asociasiones de productores legalmente constituidas</v>
      </c>
      <c r="H142" s="12">
        <v>4</v>
      </c>
      <c r="I142" s="12">
        <v>4</v>
      </c>
      <c r="J142" s="6">
        <f t="shared" si="8"/>
        <v>1</v>
      </c>
      <c r="K142" s="8">
        <v>0</v>
      </c>
      <c r="L142" s="8">
        <v>0</v>
      </c>
      <c r="M142" s="6">
        <f t="shared" si="9"/>
        <v>0</v>
      </c>
      <c r="N142" s="5" t="s">
        <v>616</v>
      </c>
      <c r="O142" s="5" t="s">
        <v>496</v>
      </c>
      <c r="P142" s="5" t="s">
        <v>499</v>
      </c>
      <c r="Q142" s="5" t="s">
        <v>506</v>
      </c>
      <c r="R142" s="5"/>
      <c r="S142" s="5"/>
      <c r="T142" s="10">
        <v>46036</v>
      </c>
      <c r="U142" s="5"/>
    </row>
    <row r="143" spans="1:21" ht="90" x14ac:dyDescent="0.25">
      <c r="A143" s="5" t="s">
        <v>498</v>
      </c>
      <c r="B143" s="14" t="s">
        <v>487</v>
      </c>
      <c r="C143" s="5" t="s">
        <v>319</v>
      </c>
      <c r="D143" s="5" t="str">
        <f>IF($C143="","",INDEX([1]PLAN_DESARROLLO!$B:$B,MATCH($C143,[1]PLAN_DESARROLLO!$A:$A,0)))</f>
        <v>2024257770023</v>
      </c>
      <c r="E143" s="5" t="str">
        <f>IF($C143="","",INDEX([1]PLAN_DESARROLLO!$C:$C,MATCH($C143,[1]PLAN_DESARROLLO!$A:$A,0)))</f>
        <v>POR EL SUPATÁ SOÑADO AVANZAMOS JUNTOS EN LA LÍNEA ESTRATÉGICA ECONÓMICA</v>
      </c>
      <c r="F143" s="14" t="str">
        <f>IF($C143="","",INDEX([1]PLAN_DESARROLLO!$D:$D,MATCH($C143,[1]PLAN_DESARROLLO!$A:$A,0)))</f>
        <v>AGROPECUARIO</v>
      </c>
      <c r="G143" s="5" t="str">
        <f>IF($C143="","",INDEX([1]PLAN_DESARROLLO!$E:$E,MATCH($C143,[1]PLAN_DESARROLLO!$A:$A,0)))</f>
        <v>Fortalecer anualmente las asociasiones de productores legalmente constituidas</v>
      </c>
      <c r="H143" s="12">
        <v>4</v>
      </c>
      <c r="I143" s="12">
        <v>4</v>
      </c>
      <c r="J143" s="6">
        <f t="shared" si="8"/>
        <v>1</v>
      </c>
      <c r="K143" s="8">
        <v>0</v>
      </c>
      <c r="L143" s="8">
        <v>0</v>
      </c>
      <c r="M143" s="6">
        <f t="shared" si="9"/>
        <v>0</v>
      </c>
      <c r="N143" s="5" t="s">
        <v>616</v>
      </c>
      <c r="O143" s="5" t="s">
        <v>496</v>
      </c>
      <c r="P143" s="5" t="s">
        <v>499</v>
      </c>
      <c r="Q143" s="5" t="s">
        <v>506</v>
      </c>
      <c r="R143" s="5"/>
      <c r="S143" s="5"/>
      <c r="T143" s="10">
        <v>46036</v>
      </c>
      <c r="U143" s="5"/>
    </row>
    <row r="144" spans="1:21" ht="75" x14ac:dyDescent="0.25">
      <c r="A144" s="5" t="s">
        <v>494</v>
      </c>
      <c r="B144" s="14" t="s">
        <v>487</v>
      </c>
      <c r="C144" s="5" t="s">
        <v>321</v>
      </c>
      <c r="D144" s="5" t="str">
        <f>IF($C144="","",INDEX([1]PLAN_DESARROLLO!$B:$B,MATCH($C144,[1]PLAN_DESARROLLO!$A:$A,0)))</f>
        <v>2024257770024</v>
      </c>
      <c r="E144" s="5" t="str">
        <f>IF($C144="","",INDEX([1]PLAN_DESARROLLO!$C:$C,MATCH($C144,[1]PLAN_DESARROLLO!$A:$A,0)))</f>
        <v>POR EL SUPATÁ SOÑADO AVANZAMOS JUNTOS EN LA LÍNEA ESTRATÉGICA ECONÓMICA</v>
      </c>
      <c r="F144" s="14" t="str">
        <f>IF($C144="","",INDEX([1]PLAN_DESARROLLO!$D:$D,MATCH($C144,[1]PLAN_DESARROLLO!$A:$A,0)))</f>
        <v>AGROPECUARIO</v>
      </c>
      <c r="G144" s="5" t="str">
        <f>IF($C144="","",INDEX([1]PLAN_DESARROLLO!$E:$E,MATCH($C144,[1]PLAN_DESARROLLO!$A:$A,0)))</f>
        <v>Capacitar a 100 personas  que elaboren en fincas ganaderas en normatividad ICA</v>
      </c>
      <c r="H144" s="12">
        <v>10</v>
      </c>
      <c r="I144" s="12">
        <v>30</v>
      </c>
      <c r="J144" s="6">
        <f t="shared" si="8"/>
        <v>3</v>
      </c>
      <c r="K144" s="8">
        <v>0</v>
      </c>
      <c r="L144" s="8">
        <v>0</v>
      </c>
      <c r="M144" s="6">
        <f t="shared" si="9"/>
        <v>0</v>
      </c>
      <c r="N144" s="5" t="s">
        <v>617</v>
      </c>
      <c r="O144" s="5" t="s">
        <v>496</v>
      </c>
      <c r="P144" s="5" t="s">
        <v>499</v>
      </c>
      <c r="Q144" s="5" t="s">
        <v>512</v>
      </c>
      <c r="R144" s="5"/>
      <c r="S144" s="5"/>
      <c r="T144" s="10">
        <v>46036</v>
      </c>
      <c r="U144" s="5"/>
    </row>
    <row r="145" spans="1:21" ht="75" x14ac:dyDescent="0.25">
      <c r="A145" s="5" t="s">
        <v>498</v>
      </c>
      <c r="B145" s="14" t="s">
        <v>487</v>
      </c>
      <c r="C145" s="5" t="s">
        <v>321</v>
      </c>
      <c r="D145" s="5" t="str">
        <f>IF($C145="","",INDEX([1]PLAN_DESARROLLO!$B:$B,MATCH($C145,[1]PLAN_DESARROLLO!$A:$A,0)))</f>
        <v>2024257770024</v>
      </c>
      <c r="E145" s="5" t="str">
        <f>IF($C145="","",INDEX([1]PLAN_DESARROLLO!$C:$C,MATCH($C145,[1]PLAN_DESARROLLO!$A:$A,0)))</f>
        <v>POR EL SUPATÁ SOÑADO AVANZAMOS JUNTOS EN LA LÍNEA ESTRATÉGICA ECONÓMICA</v>
      </c>
      <c r="F145" s="14" t="str">
        <f>IF($C145="","",INDEX([1]PLAN_DESARROLLO!$D:$D,MATCH($C145,[1]PLAN_DESARROLLO!$A:$A,0)))</f>
        <v>AGROPECUARIO</v>
      </c>
      <c r="G145" s="5" t="str">
        <f>IF($C145="","",INDEX([1]PLAN_DESARROLLO!$E:$E,MATCH($C145,[1]PLAN_DESARROLLO!$A:$A,0)))</f>
        <v>Capacitar a 100 personas  que elaboren en fincas ganaderas en normatividad ICA</v>
      </c>
      <c r="H145" s="12">
        <v>40</v>
      </c>
      <c r="I145" s="12">
        <v>50</v>
      </c>
      <c r="J145" s="6">
        <f t="shared" si="8"/>
        <v>1.25</v>
      </c>
      <c r="K145" s="8">
        <v>0</v>
      </c>
      <c r="L145" s="8">
        <v>0</v>
      </c>
      <c r="M145" s="6">
        <f t="shared" si="9"/>
        <v>0</v>
      </c>
      <c r="N145" s="5" t="s">
        <v>617</v>
      </c>
      <c r="O145" s="5" t="s">
        <v>496</v>
      </c>
      <c r="P145" s="5" t="s">
        <v>499</v>
      </c>
      <c r="Q145" s="5" t="s">
        <v>512</v>
      </c>
      <c r="R145" s="5"/>
      <c r="S145" s="5"/>
      <c r="T145" s="10">
        <v>46036</v>
      </c>
      <c r="U145" s="5"/>
    </row>
    <row r="146" spans="1:21" ht="105" x14ac:dyDescent="0.25">
      <c r="A146" s="5" t="s">
        <v>494</v>
      </c>
      <c r="B146" s="14" t="s">
        <v>487</v>
      </c>
      <c r="C146" s="5" t="s">
        <v>324</v>
      </c>
      <c r="D146" s="5" t="str">
        <f>IF($C146="","",INDEX([1]PLAN_DESARROLLO!$B:$B,MATCH($C146,[1]PLAN_DESARROLLO!$A:$A,0)))</f>
        <v>202500000009592</v>
      </c>
      <c r="E146" s="5" t="str">
        <f>IF($C146="","",INDEX([1]PLAN_DESARROLLO!$C:$C,MATCH($C146,[1]PLAN_DESARROLLO!$A:$A,0)))</f>
        <v>POR EL SUPATÁ SOÑADO AVANZAMOS JUNTOS EN LA LÍNEA ESTRATÉGICA ECONÓMICA</v>
      </c>
      <c r="F146" s="14" t="str">
        <f>IF($C146="","",INDEX([1]PLAN_DESARROLLO!$D:$D,MATCH($C146,[1]PLAN_DESARROLLO!$A:$A,0)))</f>
        <v>AGROPECUARIO</v>
      </c>
      <c r="G146" s="5" t="str">
        <f>IF($C146="","",INDEX([1]PLAN_DESARROLLO!$E:$E,MATCH($C146,[1]PLAN_DESARROLLO!$A:$A,0)))</f>
        <v>Organizar (4) ferias agropecuarias</v>
      </c>
      <c r="H146" s="12">
        <v>1</v>
      </c>
      <c r="I146" s="12">
        <v>1</v>
      </c>
      <c r="J146" s="6">
        <f t="shared" si="8"/>
        <v>1</v>
      </c>
      <c r="K146" s="8">
        <v>60000000</v>
      </c>
      <c r="L146" s="8">
        <v>60000000</v>
      </c>
      <c r="M146" s="6">
        <f t="shared" si="9"/>
        <v>1</v>
      </c>
      <c r="N146" s="5" t="s">
        <v>618</v>
      </c>
      <c r="O146" s="5" t="s">
        <v>496</v>
      </c>
      <c r="P146" s="5" t="s">
        <v>499</v>
      </c>
      <c r="Q146" s="5" t="s">
        <v>506</v>
      </c>
      <c r="R146" s="5"/>
      <c r="S146" s="5"/>
      <c r="T146" s="10">
        <v>46036</v>
      </c>
      <c r="U146" s="5"/>
    </row>
    <row r="147" spans="1:21" ht="105" x14ac:dyDescent="0.25">
      <c r="A147" s="5" t="s">
        <v>498</v>
      </c>
      <c r="B147" s="14" t="s">
        <v>487</v>
      </c>
      <c r="C147" s="5" t="s">
        <v>324</v>
      </c>
      <c r="D147" s="5" t="str">
        <f>IF($C147="","",INDEX([1]PLAN_DESARROLLO!$B:$B,MATCH($C147,[1]PLAN_DESARROLLO!$A:$A,0)))</f>
        <v>202500000009592</v>
      </c>
      <c r="E147" s="5" t="str">
        <f>IF($C147="","",INDEX([1]PLAN_DESARROLLO!$C:$C,MATCH($C147,[1]PLAN_DESARROLLO!$A:$A,0)))</f>
        <v>POR EL SUPATÁ SOÑADO AVANZAMOS JUNTOS EN LA LÍNEA ESTRATÉGICA ECONÓMICA</v>
      </c>
      <c r="F147" s="14" t="str">
        <f>IF($C147="","",INDEX([1]PLAN_DESARROLLO!$D:$D,MATCH($C147,[1]PLAN_DESARROLLO!$A:$A,0)))</f>
        <v>AGROPECUARIO</v>
      </c>
      <c r="G147" s="5" t="str">
        <f>IF($C147="","",INDEX([1]PLAN_DESARROLLO!$E:$E,MATCH($C147,[1]PLAN_DESARROLLO!$A:$A,0)))</f>
        <v>Organizar (4) ferias agropecuarias</v>
      </c>
      <c r="H147" s="12">
        <v>1</v>
      </c>
      <c r="I147" s="12">
        <v>1</v>
      </c>
      <c r="J147" s="6">
        <f t="shared" si="8"/>
        <v>1</v>
      </c>
      <c r="K147" s="8">
        <v>60000000</v>
      </c>
      <c r="L147" s="8">
        <v>60000000</v>
      </c>
      <c r="M147" s="6">
        <f t="shared" si="9"/>
        <v>1</v>
      </c>
      <c r="N147" s="5" t="s">
        <v>619</v>
      </c>
      <c r="O147" s="5" t="s">
        <v>496</v>
      </c>
      <c r="P147" s="5" t="s">
        <v>499</v>
      </c>
      <c r="Q147" s="5" t="s">
        <v>506</v>
      </c>
      <c r="R147" s="5"/>
      <c r="S147" s="5"/>
      <c r="T147" s="10">
        <v>46036</v>
      </c>
      <c r="U147" s="5"/>
    </row>
    <row r="148" spans="1:21" ht="60" x14ac:dyDescent="0.25">
      <c r="A148" s="5" t="s">
        <v>494</v>
      </c>
      <c r="B148" s="14" t="s">
        <v>487</v>
      </c>
      <c r="C148" s="5" t="s">
        <v>327</v>
      </c>
      <c r="D148" s="5" t="str">
        <f>IF($C148="","",INDEX([1]PLAN_DESARROLLO!$B:$B,MATCH($C148,[1]PLAN_DESARROLLO!$A:$A,0)))</f>
        <v>202500000008911</v>
      </c>
      <c r="E148" s="5" t="str">
        <f>IF($C148="","",INDEX([1]PLAN_DESARROLLO!$C:$C,MATCH($C148,[1]PLAN_DESARROLLO!$A:$A,0)))</f>
        <v>POR EL SUPATÁ SOÑADO AVANZAMOS JUNTOS EN LA LÍNEA ESTRATÉGICA ECONÓMICA</v>
      </c>
      <c r="F148" s="14" t="str">
        <f>IF($C148="","",INDEX([1]PLAN_DESARROLLO!$D:$D,MATCH($C148,[1]PLAN_DESARROLLO!$A:$A,0)))</f>
        <v>AGROPECUARIO</v>
      </c>
      <c r="G148" s="5" t="str">
        <f>IF($C148="","",INDEX([1]PLAN_DESARROLLO!$E:$E,MATCH($C148,[1]PLAN_DESARROLLO!$A:$A,0)))</f>
        <v xml:space="preserve">Realizar 500 procedimientos de esterilización canina y felina con el fin de hacer control de población canina y felina </v>
      </c>
      <c r="H148" s="12">
        <v>125</v>
      </c>
      <c r="I148" s="12">
        <v>735</v>
      </c>
      <c r="J148" s="6">
        <f t="shared" si="8"/>
        <v>5.88</v>
      </c>
      <c r="K148" s="8">
        <v>15000000</v>
      </c>
      <c r="L148" s="8">
        <v>15000000</v>
      </c>
      <c r="M148" s="6">
        <f t="shared" si="9"/>
        <v>1</v>
      </c>
      <c r="N148" s="5" t="s">
        <v>620</v>
      </c>
      <c r="O148" s="5" t="s">
        <v>496</v>
      </c>
      <c r="P148" s="5" t="s">
        <v>502</v>
      </c>
      <c r="Q148" s="5" t="s">
        <v>501</v>
      </c>
      <c r="R148" s="5"/>
      <c r="S148" s="5"/>
      <c r="T148" s="10">
        <v>46036</v>
      </c>
      <c r="U148" s="5"/>
    </row>
    <row r="149" spans="1:21" ht="45" x14ac:dyDescent="0.25">
      <c r="A149" s="5" t="s">
        <v>498</v>
      </c>
      <c r="B149" s="14" t="s">
        <v>487</v>
      </c>
      <c r="C149" s="5" t="s">
        <v>327</v>
      </c>
      <c r="D149" s="5" t="str">
        <f>IF($C149="","",INDEX([1]PLAN_DESARROLLO!$B:$B,MATCH($C149,[1]PLAN_DESARROLLO!$A:$A,0)))</f>
        <v>202500000008911</v>
      </c>
      <c r="E149" s="5" t="str">
        <f>IF($C149="","",INDEX([1]PLAN_DESARROLLO!$C:$C,MATCH($C149,[1]PLAN_DESARROLLO!$A:$A,0)))</f>
        <v>POR EL SUPATÁ SOÑADO AVANZAMOS JUNTOS EN LA LÍNEA ESTRATÉGICA ECONÓMICA</v>
      </c>
      <c r="F149" s="14" t="str">
        <f>IF($C149="","",INDEX([1]PLAN_DESARROLLO!$D:$D,MATCH($C149,[1]PLAN_DESARROLLO!$A:$A,0)))</f>
        <v>AGROPECUARIO</v>
      </c>
      <c r="G149" s="5" t="str">
        <f>IF($C149="","",INDEX([1]PLAN_DESARROLLO!$E:$E,MATCH($C149,[1]PLAN_DESARROLLO!$A:$A,0)))</f>
        <v xml:space="preserve">Realizar 500 procedimientos de esterilización canina y felina con el fin de hacer control de población canina y felina </v>
      </c>
      <c r="H149" s="12">
        <v>125</v>
      </c>
      <c r="I149" s="12">
        <v>320</v>
      </c>
      <c r="J149" s="6">
        <f t="shared" si="8"/>
        <v>2.56</v>
      </c>
      <c r="K149" s="8">
        <v>15000000</v>
      </c>
      <c r="L149" s="8">
        <v>15000000</v>
      </c>
      <c r="M149" s="6">
        <f t="shared" si="9"/>
        <v>1</v>
      </c>
      <c r="N149" s="5" t="s">
        <v>621</v>
      </c>
      <c r="O149" s="5" t="s">
        <v>496</v>
      </c>
      <c r="P149" s="5" t="s">
        <v>502</v>
      </c>
      <c r="Q149" s="5" t="s">
        <v>501</v>
      </c>
      <c r="R149" s="5"/>
      <c r="S149" s="5"/>
      <c r="T149" s="10">
        <v>46036</v>
      </c>
      <c r="U149" s="5"/>
    </row>
    <row r="150" spans="1:21" ht="45" x14ac:dyDescent="0.25">
      <c r="A150" s="5" t="s">
        <v>494</v>
      </c>
      <c r="B150" s="14" t="s">
        <v>487</v>
      </c>
      <c r="C150" s="5" t="s">
        <v>330</v>
      </c>
      <c r="D150" s="5" t="str">
        <f>IF($C150="","",INDEX([1]PLAN_DESARROLLO!$B:$B,MATCH($C150,[1]PLAN_DESARROLLO!$A:$A,0)))</f>
        <v>202500000009564</v>
      </c>
      <c r="E150" s="5" t="str">
        <f>IF($C150="","",INDEX([1]PLAN_DESARROLLO!$C:$C,MATCH($C150,[1]PLAN_DESARROLLO!$A:$A,0)))</f>
        <v>POR EL SUPATÁ SOÑADO AVANZAMOS JUNTOS EN LA LÍNEA ESTRATÉGICA ECONÓMICA</v>
      </c>
      <c r="F150" s="14" t="str">
        <f>IF($C150="","",INDEX([1]PLAN_DESARROLLO!$D:$D,MATCH($C150,[1]PLAN_DESARROLLO!$A:$A,0)))</f>
        <v>AGROPECUARIO</v>
      </c>
      <c r="G150" s="5" t="str">
        <f>IF($C150="","",INDEX([1]PLAN_DESARROLLO!$E:$E,MATCH($C150,[1]PLAN_DESARROLLO!$A:$A,0)))</f>
        <v>Crear el plan agropecuario municipal</v>
      </c>
      <c r="H150" s="12">
        <v>0</v>
      </c>
      <c r="I150" s="12">
        <v>0</v>
      </c>
      <c r="J150" s="6">
        <f t="shared" si="8"/>
        <v>0</v>
      </c>
      <c r="K150" s="8">
        <v>0</v>
      </c>
      <c r="L150" s="8">
        <v>0</v>
      </c>
      <c r="M150" s="6">
        <f t="shared" si="9"/>
        <v>0</v>
      </c>
      <c r="N150" s="5"/>
      <c r="O150" s="5"/>
      <c r="P150" s="5" t="s">
        <v>495</v>
      </c>
      <c r="Q150" s="5"/>
      <c r="R150" s="5"/>
      <c r="S150" s="5"/>
      <c r="T150" s="10">
        <v>46036</v>
      </c>
      <c r="U150" s="5"/>
    </row>
    <row r="151" spans="1:21" ht="45" x14ac:dyDescent="0.25">
      <c r="A151" s="5" t="s">
        <v>498</v>
      </c>
      <c r="B151" s="14" t="s">
        <v>487</v>
      </c>
      <c r="C151" s="5" t="s">
        <v>330</v>
      </c>
      <c r="D151" s="5" t="str">
        <f>IF($C151="","",INDEX([1]PLAN_DESARROLLO!$B:$B,MATCH($C151,[1]PLAN_DESARROLLO!$A:$A,0)))</f>
        <v>202500000009564</v>
      </c>
      <c r="E151" s="5" t="str">
        <f>IF($C151="","",INDEX([1]PLAN_DESARROLLO!$C:$C,MATCH($C151,[1]PLAN_DESARROLLO!$A:$A,0)))</f>
        <v>POR EL SUPATÁ SOÑADO AVANZAMOS JUNTOS EN LA LÍNEA ESTRATÉGICA ECONÓMICA</v>
      </c>
      <c r="F151" s="14" t="str">
        <f>IF($C151="","",INDEX([1]PLAN_DESARROLLO!$D:$D,MATCH($C151,[1]PLAN_DESARROLLO!$A:$A,0)))</f>
        <v>AGROPECUARIO</v>
      </c>
      <c r="G151" s="5" t="str">
        <f>IF($C151="","",INDEX([1]PLAN_DESARROLLO!$E:$E,MATCH($C151,[1]PLAN_DESARROLLO!$A:$A,0)))</f>
        <v>Crear el plan agropecuario municipal</v>
      </c>
      <c r="H151" s="12">
        <v>0</v>
      </c>
      <c r="I151" s="12">
        <v>0</v>
      </c>
      <c r="J151" s="6">
        <f t="shared" si="8"/>
        <v>0</v>
      </c>
      <c r="K151" s="8">
        <v>0</v>
      </c>
      <c r="L151" s="8">
        <v>0</v>
      </c>
      <c r="M151" s="6">
        <f t="shared" si="9"/>
        <v>0</v>
      </c>
      <c r="N151" s="5"/>
      <c r="O151" s="5"/>
      <c r="P151" s="5" t="s">
        <v>499</v>
      </c>
      <c r="Q151" s="5"/>
      <c r="R151" s="5"/>
      <c r="S151" s="5"/>
      <c r="T151" s="10">
        <v>46036</v>
      </c>
      <c r="U151" s="5"/>
    </row>
    <row r="152" spans="1:21" ht="75" x14ac:dyDescent="0.25">
      <c r="A152" s="5" t="s">
        <v>494</v>
      </c>
      <c r="B152" s="14" t="s">
        <v>487</v>
      </c>
      <c r="C152" s="5" t="s">
        <v>333</v>
      </c>
      <c r="D152" s="5" t="str">
        <f>IF($C152="","",INDEX([1]PLAN_DESARROLLO!$B:$B,MATCH($C152,[1]PLAN_DESARROLLO!$A:$A,0)))</f>
        <v>202500000008931</v>
      </c>
      <c r="E152" s="5" t="str">
        <f>IF($C152="","",INDEX([1]PLAN_DESARROLLO!$C:$C,MATCH($C152,[1]PLAN_DESARROLLO!$A:$A,0)))</f>
        <v>POR EL SUPATÁ SOÑADO AVANZAMOS JUNTOS EN LA LÍNEA ESTRATÉGICA ECONÓMICA</v>
      </c>
      <c r="F152" s="14" t="str">
        <f>IF($C152="","",INDEX([1]PLAN_DESARROLLO!$D:$D,MATCH($C152,[1]PLAN_DESARROLLO!$A:$A,0)))</f>
        <v>AGROPECUARIO</v>
      </c>
      <c r="G152" s="5" t="str">
        <f>IF($C152="","",INDEX([1]PLAN_DESARROLLO!$E:$E,MATCH($C152,[1]PLAN_DESARROLLO!$A:$A,0)))</f>
        <v xml:space="preserve">Realizar 500 chequeos reproductivos  en ganado bovino de los diferentes productores del municipio </v>
      </c>
      <c r="H152" s="12">
        <v>100</v>
      </c>
      <c r="I152" s="12">
        <v>250</v>
      </c>
      <c r="J152" s="6">
        <f t="shared" si="8"/>
        <v>2.5</v>
      </c>
      <c r="K152" s="8">
        <v>5000000</v>
      </c>
      <c r="L152" s="8">
        <v>5000000</v>
      </c>
      <c r="M152" s="6">
        <f t="shared" si="9"/>
        <v>1</v>
      </c>
      <c r="N152" s="5" t="s">
        <v>622</v>
      </c>
      <c r="O152" s="5" t="s">
        <v>496</v>
      </c>
      <c r="P152" s="5" t="s">
        <v>499</v>
      </c>
      <c r="Q152" s="5" t="s">
        <v>506</v>
      </c>
      <c r="R152" s="5"/>
      <c r="S152" s="5"/>
      <c r="T152" s="10">
        <v>46036</v>
      </c>
      <c r="U152" s="5"/>
    </row>
    <row r="153" spans="1:21" ht="75" x14ac:dyDescent="0.25">
      <c r="A153" s="5" t="s">
        <v>498</v>
      </c>
      <c r="B153" s="14" t="s">
        <v>487</v>
      </c>
      <c r="C153" s="5" t="s">
        <v>333</v>
      </c>
      <c r="D153" s="5" t="str">
        <f>IF($C153="","",INDEX([1]PLAN_DESARROLLO!$B:$B,MATCH($C153,[1]PLAN_DESARROLLO!$A:$A,0)))</f>
        <v>202500000008931</v>
      </c>
      <c r="E153" s="5" t="str">
        <f>IF($C153="","",INDEX([1]PLAN_DESARROLLO!$C:$C,MATCH($C153,[1]PLAN_DESARROLLO!$A:$A,0)))</f>
        <v>POR EL SUPATÁ SOÑADO AVANZAMOS JUNTOS EN LA LÍNEA ESTRATÉGICA ECONÓMICA</v>
      </c>
      <c r="F153" s="14" t="str">
        <f>IF($C153="","",INDEX([1]PLAN_DESARROLLO!$D:$D,MATCH($C153,[1]PLAN_DESARROLLO!$A:$A,0)))</f>
        <v>AGROPECUARIO</v>
      </c>
      <c r="G153" s="5" t="str">
        <f>IF($C153="","",INDEX([1]PLAN_DESARROLLO!$E:$E,MATCH($C153,[1]PLAN_DESARROLLO!$A:$A,0)))</f>
        <v xml:space="preserve">Realizar 500 chequeos reproductivos  en ganado bovino de los diferentes productores del municipio </v>
      </c>
      <c r="H153" s="12">
        <v>250</v>
      </c>
      <c r="I153" s="12">
        <v>250</v>
      </c>
      <c r="J153" s="6">
        <f t="shared" si="8"/>
        <v>1</v>
      </c>
      <c r="K153" s="8">
        <v>5000000</v>
      </c>
      <c r="L153" s="8">
        <v>5000000</v>
      </c>
      <c r="M153" s="6">
        <f t="shared" si="9"/>
        <v>1</v>
      </c>
      <c r="N153" s="5" t="s">
        <v>622</v>
      </c>
      <c r="O153" s="5" t="s">
        <v>496</v>
      </c>
      <c r="P153" s="5" t="s">
        <v>502</v>
      </c>
      <c r="Q153" s="5" t="s">
        <v>506</v>
      </c>
      <c r="R153" s="5"/>
      <c r="S153" s="5"/>
      <c r="T153" s="10">
        <v>46036</v>
      </c>
      <c r="U153" s="5"/>
    </row>
    <row r="154" spans="1:21" ht="60" x14ac:dyDescent="0.25">
      <c r="A154" s="5" t="s">
        <v>494</v>
      </c>
      <c r="B154" s="14" t="s">
        <v>487</v>
      </c>
      <c r="C154" s="5" t="s">
        <v>336</v>
      </c>
      <c r="D154" s="5" t="str">
        <f>IF($C154="","",INDEX([1]PLAN_DESARROLLO!$B:$B,MATCH($C154,[1]PLAN_DESARROLLO!$A:$A,0)))</f>
        <v>202500000008931</v>
      </c>
      <c r="E154" s="5" t="str">
        <f>IF($C154="","",INDEX([1]PLAN_DESARROLLO!$C:$C,MATCH($C154,[1]PLAN_DESARROLLO!$A:$A,0)))</f>
        <v>POR EL SUPATÁ SOÑADO AVANZAMOS JUNTOS EN LA LÍNEA ESTRATÉGICA ECONÓMICA</v>
      </c>
      <c r="F154" s="14" t="str">
        <f>IF($C154="","",INDEX([1]PLAN_DESARROLLO!$D:$D,MATCH($C154,[1]PLAN_DESARROLLO!$A:$A,0)))</f>
        <v>AGROPECUARIO</v>
      </c>
      <c r="G154" s="5" t="str">
        <f>IF($C154="","",INDEX([1]PLAN_DESARROLLO!$E:$E,MATCH($C154,[1]PLAN_DESARROLLO!$A:$A,0)))</f>
        <v>Reforzar 5 parcelas de cultivos tradicionales, implementando los pincipios basicos de conservación</v>
      </c>
      <c r="H154" s="12">
        <v>1</v>
      </c>
      <c r="I154" s="12">
        <v>1</v>
      </c>
      <c r="J154" s="6">
        <f t="shared" si="8"/>
        <v>1</v>
      </c>
      <c r="K154" s="8">
        <v>5000000</v>
      </c>
      <c r="L154" s="8">
        <v>5000000</v>
      </c>
      <c r="M154" s="6">
        <f t="shared" si="9"/>
        <v>1</v>
      </c>
      <c r="N154" s="5" t="s">
        <v>623</v>
      </c>
      <c r="O154" s="5" t="s">
        <v>496</v>
      </c>
      <c r="P154" s="5" t="s">
        <v>499</v>
      </c>
      <c r="Q154" s="5" t="s">
        <v>506</v>
      </c>
      <c r="R154" s="5"/>
      <c r="S154" s="5"/>
      <c r="T154" s="10">
        <v>46036</v>
      </c>
      <c r="U154" s="5"/>
    </row>
    <row r="155" spans="1:21" ht="105" x14ac:dyDescent="0.25">
      <c r="A155" s="5" t="s">
        <v>498</v>
      </c>
      <c r="B155" s="14" t="s">
        <v>487</v>
      </c>
      <c r="C155" s="5" t="s">
        <v>336</v>
      </c>
      <c r="D155" s="5" t="str">
        <f>IF($C155="","",INDEX([1]PLAN_DESARROLLO!$B:$B,MATCH($C155,[1]PLAN_DESARROLLO!$A:$A,0)))</f>
        <v>202500000008931</v>
      </c>
      <c r="E155" s="5" t="str">
        <f>IF($C155="","",INDEX([1]PLAN_DESARROLLO!$C:$C,MATCH($C155,[1]PLAN_DESARROLLO!$A:$A,0)))</f>
        <v>POR EL SUPATÁ SOÑADO AVANZAMOS JUNTOS EN LA LÍNEA ESTRATÉGICA ECONÓMICA</v>
      </c>
      <c r="F155" s="14" t="str">
        <f>IF($C155="","",INDEX([1]PLAN_DESARROLLO!$D:$D,MATCH($C155,[1]PLAN_DESARROLLO!$A:$A,0)))</f>
        <v>AGROPECUARIO</v>
      </c>
      <c r="G155" s="5" t="str">
        <f>IF($C155="","",INDEX([1]PLAN_DESARROLLO!$E:$E,MATCH($C155,[1]PLAN_DESARROLLO!$A:$A,0)))</f>
        <v>Reforzar 5 parcelas de cultivos tradicionales, implementando los pincipios basicos de conservación</v>
      </c>
      <c r="H155" s="12">
        <v>2</v>
      </c>
      <c r="I155" s="12">
        <v>2</v>
      </c>
      <c r="J155" s="6">
        <f t="shared" si="8"/>
        <v>1</v>
      </c>
      <c r="K155" s="8">
        <v>5000000</v>
      </c>
      <c r="L155" s="8">
        <v>5000000</v>
      </c>
      <c r="M155" s="6">
        <f t="shared" si="9"/>
        <v>1</v>
      </c>
      <c r="N155" s="5" t="s">
        <v>624</v>
      </c>
      <c r="O155" s="5" t="s">
        <v>496</v>
      </c>
      <c r="P155" s="5" t="s">
        <v>499</v>
      </c>
      <c r="Q155" s="5" t="s">
        <v>506</v>
      </c>
      <c r="R155" s="5"/>
      <c r="S155" s="5"/>
      <c r="T155" s="10">
        <v>46036</v>
      </c>
      <c r="U155" s="5"/>
    </row>
    <row r="156" spans="1:21" ht="90" x14ac:dyDescent="0.25">
      <c r="A156" s="5" t="s">
        <v>494</v>
      </c>
      <c r="B156" s="14" t="s">
        <v>487</v>
      </c>
      <c r="C156" s="5" t="s">
        <v>338</v>
      </c>
      <c r="D156" s="5" t="str">
        <f>IF($C156="","",INDEX([1]PLAN_DESARROLLO!$B:$B,MATCH($C156,[1]PLAN_DESARROLLO!$A:$A,0)))</f>
        <v>202500000008931</v>
      </c>
      <c r="E156" s="5" t="str">
        <f>IF($C156="","",INDEX([1]PLAN_DESARROLLO!$C:$C,MATCH($C156,[1]PLAN_DESARROLLO!$A:$A,0)))</f>
        <v>POR EL SUPATÁ SOÑADO AVANZAMOS JUNTOS EN LA LÍNEA ESTRATÉGICA ECONÓMICA</v>
      </c>
      <c r="F156" s="14" t="str">
        <f>IF($C156="","",INDEX([1]PLAN_DESARROLLO!$D:$D,MATCH($C156,[1]PLAN_DESARROLLO!$A:$A,0)))</f>
        <v>AGROPECUARIO</v>
      </c>
      <c r="G156" s="5" t="str">
        <f>IF($C156="","",INDEX([1]PLAN_DESARROLLO!$E:$E,MATCH($C156,[1]PLAN_DESARROLLO!$A:$A,0)))</f>
        <v>Realizar 400 inseminaciones artificiales en ganado bovino de los diferentes productores</v>
      </c>
      <c r="H156" s="12">
        <v>100</v>
      </c>
      <c r="I156" s="12">
        <v>132</v>
      </c>
      <c r="J156" s="6">
        <f t="shared" si="8"/>
        <v>1.32</v>
      </c>
      <c r="K156" s="8">
        <v>5000000</v>
      </c>
      <c r="L156" s="8">
        <v>5000000</v>
      </c>
      <c r="M156" s="6">
        <f t="shared" si="9"/>
        <v>1</v>
      </c>
      <c r="N156" s="5" t="s">
        <v>625</v>
      </c>
      <c r="O156" s="5" t="s">
        <v>496</v>
      </c>
      <c r="P156" s="5" t="s">
        <v>499</v>
      </c>
      <c r="Q156" s="5" t="s">
        <v>506</v>
      </c>
      <c r="R156" s="5"/>
      <c r="S156" s="5"/>
      <c r="T156" s="10">
        <v>46036</v>
      </c>
      <c r="U156" s="5"/>
    </row>
    <row r="157" spans="1:21" ht="90" x14ac:dyDescent="0.25">
      <c r="A157" s="17" t="s">
        <v>498</v>
      </c>
      <c r="B157" s="18" t="s">
        <v>487</v>
      </c>
      <c r="C157" s="17" t="s">
        <v>338</v>
      </c>
      <c r="D157" s="17" t="str">
        <f>IF($C157="","",INDEX([1]PLAN_DESARROLLO!$B:$B,MATCH($C157,[1]PLAN_DESARROLLO!$A:$A,0)))</f>
        <v>202500000008931</v>
      </c>
      <c r="E157" s="17" t="str">
        <f>IF($C157="","",INDEX([1]PLAN_DESARROLLO!$C:$C,MATCH($C157,[1]PLAN_DESARROLLO!$A:$A,0)))</f>
        <v>POR EL SUPATÁ SOÑADO AVANZAMOS JUNTOS EN LA LÍNEA ESTRATÉGICA ECONÓMICA</v>
      </c>
      <c r="F157" s="18" t="str">
        <f>IF($C157="","",INDEX([1]PLAN_DESARROLLO!$D:$D,MATCH($C157,[1]PLAN_DESARROLLO!$A:$A,0)))</f>
        <v>AGROPECUARIO</v>
      </c>
      <c r="G157" s="17" t="str">
        <f>IF($C157="","",INDEX([1]PLAN_DESARROLLO!$E:$E,MATCH($C157,[1]PLAN_DESARROLLO!$A:$A,0)))</f>
        <v>Realizar 400 inseminaciones artificiales en ganado bovino de los diferentes productores</v>
      </c>
      <c r="H157" s="19">
        <v>100</v>
      </c>
      <c r="I157" s="19">
        <v>110</v>
      </c>
      <c r="J157" s="20">
        <f t="shared" si="8"/>
        <v>1.1000000000000001</v>
      </c>
      <c r="K157" s="21">
        <v>5000000</v>
      </c>
      <c r="L157" s="21">
        <v>5000000</v>
      </c>
      <c r="M157" s="20">
        <f t="shared" si="9"/>
        <v>1</v>
      </c>
      <c r="N157" s="17" t="s">
        <v>625</v>
      </c>
      <c r="O157" s="17" t="s">
        <v>496</v>
      </c>
      <c r="P157" s="17"/>
      <c r="Q157" s="17" t="s">
        <v>506</v>
      </c>
      <c r="R157" s="17"/>
      <c r="S157" s="17"/>
      <c r="T157" s="22">
        <v>46036</v>
      </c>
      <c r="U157" s="17"/>
    </row>
    <row r="158" spans="1:21" ht="60" x14ac:dyDescent="0.25">
      <c r="A158" s="5" t="s">
        <v>494</v>
      </c>
      <c r="B158" s="14" t="s">
        <v>487</v>
      </c>
      <c r="C158" s="5" t="s">
        <v>340</v>
      </c>
      <c r="D158" s="5" t="str">
        <f>IF($C158="","",INDEX([1]PLAN_DESARROLLO!$B:$B,MATCH($C158,[1]PLAN_DESARROLLO!$A:$A,0)))</f>
        <v>202500000008931</v>
      </c>
      <c r="E158" s="5" t="str">
        <f>IF($C158="","",INDEX([1]PLAN_DESARROLLO!$C:$C,MATCH($C158,[1]PLAN_DESARROLLO!$A:$A,0)))</f>
        <v>POR EL SUPATÁ SOÑADO AVANZAMOS JUNTOS EN LA LÍNEA ESTRATÉGICA ECONÓMICA</v>
      </c>
      <c r="F158" s="14" t="str">
        <f>IF($C158="","",INDEX([1]PLAN_DESARROLLO!$D:$D,MATCH($C158,[1]PLAN_DESARROLLO!$A:$A,0)))</f>
        <v>AGROPECUARIO</v>
      </c>
      <c r="G158" s="5" t="str">
        <f>IF($C158="","",INDEX([1]PLAN_DESARROLLO!$E:$E,MATCH($C158,[1]PLAN_DESARROLLO!$A:$A,0)))</f>
        <v>Mantener el (1) proyecto de mejoramiento genético</v>
      </c>
      <c r="H158" s="12">
        <v>1</v>
      </c>
      <c r="I158" s="12">
        <v>1</v>
      </c>
      <c r="J158" s="6">
        <f t="shared" si="8"/>
        <v>1</v>
      </c>
      <c r="K158" s="8">
        <v>0</v>
      </c>
      <c r="L158" s="8">
        <v>0</v>
      </c>
      <c r="M158" s="6">
        <f t="shared" si="9"/>
        <v>0</v>
      </c>
      <c r="N158" s="5" t="s">
        <v>626</v>
      </c>
      <c r="O158" s="5" t="s">
        <v>496</v>
      </c>
      <c r="P158" s="5" t="s">
        <v>499</v>
      </c>
      <c r="Q158" s="5" t="s">
        <v>506</v>
      </c>
      <c r="R158" s="5"/>
      <c r="S158" s="5"/>
      <c r="T158" s="10">
        <v>46036</v>
      </c>
      <c r="U158" s="5"/>
    </row>
    <row r="159" spans="1:21" ht="60" x14ac:dyDescent="0.25">
      <c r="A159" s="5" t="s">
        <v>498</v>
      </c>
      <c r="B159" s="14" t="s">
        <v>487</v>
      </c>
      <c r="C159" s="5" t="s">
        <v>340</v>
      </c>
      <c r="D159" s="5" t="str">
        <f>IF($C159="","",INDEX([1]PLAN_DESARROLLO!$B:$B,MATCH($C159,[1]PLAN_DESARROLLO!$A:$A,0)))</f>
        <v>202500000008931</v>
      </c>
      <c r="E159" s="5" t="str">
        <f>IF($C159="","",INDEX([1]PLAN_DESARROLLO!$C:$C,MATCH($C159,[1]PLAN_DESARROLLO!$A:$A,0)))</f>
        <v>POR EL SUPATÁ SOÑADO AVANZAMOS JUNTOS EN LA LÍNEA ESTRATÉGICA ECONÓMICA</v>
      </c>
      <c r="F159" s="14" t="str">
        <f>IF($C159="","",INDEX([1]PLAN_DESARROLLO!$D:$D,MATCH($C159,[1]PLAN_DESARROLLO!$A:$A,0)))</f>
        <v>AGROPECUARIO</v>
      </c>
      <c r="G159" s="5" t="str">
        <f>IF($C159="","",INDEX([1]PLAN_DESARROLLO!$E:$E,MATCH($C159,[1]PLAN_DESARROLLO!$A:$A,0)))</f>
        <v>Mantener el (1) proyecto de mejoramiento genético</v>
      </c>
      <c r="H159" s="12">
        <v>1</v>
      </c>
      <c r="I159" s="12">
        <v>1</v>
      </c>
      <c r="J159" s="6">
        <f t="shared" si="8"/>
        <v>1</v>
      </c>
      <c r="K159" s="8">
        <v>0</v>
      </c>
      <c r="L159" s="8">
        <v>0</v>
      </c>
      <c r="M159" s="6">
        <f t="shared" si="9"/>
        <v>0</v>
      </c>
      <c r="N159" s="5" t="s">
        <v>626</v>
      </c>
      <c r="O159" s="5" t="s">
        <v>496</v>
      </c>
      <c r="P159" s="5" t="s">
        <v>499</v>
      </c>
      <c r="Q159" s="5" t="s">
        <v>506</v>
      </c>
      <c r="R159" s="5"/>
      <c r="S159" s="5"/>
      <c r="T159" s="10">
        <v>46036</v>
      </c>
      <c r="U159" s="5"/>
    </row>
    <row r="160" spans="1:21" ht="45" x14ac:dyDescent="0.25">
      <c r="A160" s="5" t="s">
        <v>494</v>
      </c>
      <c r="B160" s="14" t="s">
        <v>487</v>
      </c>
      <c r="C160" s="5" t="s">
        <v>342</v>
      </c>
      <c r="D160" s="5" t="str">
        <f>IF($C160="","",INDEX([1]PLAN_DESARROLLO!$B:$B,MATCH($C160,[1]PLAN_DESARROLLO!$A:$A,0)))</f>
        <v>2024257770029</v>
      </c>
      <c r="E160" s="5" t="str">
        <f>IF($C160="","",INDEX([1]PLAN_DESARROLLO!$C:$C,MATCH($C160,[1]PLAN_DESARROLLO!$A:$A,0)))</f>
        <v>POR EL SUPATÁ SOÑADO AVANZAMOS JUNTOS EN LA LÍNEA ESTRATÉGICA ECONÓMICA</v>
      </c>
      <c r="F160" s="14" t="str">
        <f>IF($C160="","",INDEX([1]PLAN_DESARROLLO!$D:$D,MATCH($C160,[1]PLAN_DESARROLLO!$A:$A,0)))</f>
        <v>AGROPECUARIO</v>
      </c>
      <c r="G160" s="5" t="str">
        <f>IF($C160="","",INDEX([1]PLAN_DESARROLLO!$E:$E,MATCH($C160,[1]PLAN_DESARROLLO!$A:$A,0)))</f>
        <v>Ajustar los estudios y diseños del distrito de riego para solicitar financiacion en una entidad nacional</v>
      </c>
      <c r="H160" s="12"/>
      <c r="I160" s="12"/>
      <c r="J160" s="6" t="str">
        <f t="shared" si="8"/>
        <v/>
      </c>
      <c r="K160" s="8"/>
      <c r="L160" s="8"/>
      <c r="M160" s="6" t="str">
        <f t="shared" si="9"/>
        <v/>
      </c>
      <c r="N160" s="5"/>
      <c r="O160" s="5"/>
      <c r="P160" s="5"/>
      <c r="Q160" s="5"/>
      <c r="R160" s="5"/>
      <c r="S160" s="5"/>
      <c r="T160" s="10">
        <v>46036</v>
      </c>
      <c r="U160" s="5"/>
    </row>
    <row r="161" spans="1:21" ht="45" x14ac:dyDescent="0.25">
      <c r="A161" s="5" t="s">
        <v>498</v>
      </c>
      <c r="B161" s="14" t="s">
        <v>487</v>
      </c>
      <c r="C161" s="5" t="s">
        <v>342</v>
      </c>
      <c r="D161" s="5" t="str">
        <f>IF($C161="","",INDEX([1]PLAN_DESARROLLO!$B:$B,MATCH($C161,[1]PLAN_DESARROLLO!$A:$A,0)))</f>
        <v>2024257770029</v>
      </c>
      <c r="E161" s="5" t="str">
        <f>IF($C161="","",INDEX([1]PLAN_DESARROLLO!$C:$C,MATCH($C161,[1]PLAN_DESARROLLO!$A:$A,0)))</f>
        <v>POR EL SUPATÁ SOÑADO AVANZAMOS JUNTOS EN LA LÍNEA ESTRATÉGICA ECONÓMICA</v>
      </c>
      <c r="F161" s="14" t="str">
        <f>IF($C161="","",INDEX([1]PLAN_DESARROLLO!$D:$D,MATCH($C161,[1]PLAN_DESARROLLO!$A:$A,0)))</f>
        <v>AGROPECUARIO</v>
      </c>
      <c r="G161" s="5" t="str">
        <f>IF($C161="","",INDEX([1]PLAN_DESARROLLO!$E:$E,MATCH($C161,[1]PLAN_DESARROLLO!$A:$A,0)))</f>
        <v>Ajustar los estudios y diseños del distrito de riego para solicitar financiacion en una entidad nacional</v>
      </c>
      <c r="H161" s="12"/>
      <c r="I161" s="12"/>
      <c r="J161" s="6" t="str">
        <f t="shared" si="8"/>
        <v/>
      </c>
      <c r="K161" s="8"/>
      <c r="L161" s="8"/>
      <c r="M161" s="6" t="str">
        <f t="shared" si="9"/>
        <v/>
      </c>
      <c r="N161" s="5"/>
      <c r="O161" s="5"/>
      <c r="P161" s="5"/>
      <c r="Q161" s="5"/>
      <c r="R161" s="5"/>
      <c r="S161" s="5"/>
      <c r="T161" s="10">
        <v>46036</v>
      </c>
      <c r="U161" s="5"/>
    </row>
    <row r="162" spans="1:21" ht="45" x14ac:dyDescent="0.25">
      <c r="A162" s="5" t="s">
        <v>494</v>
      </c>
      <c r="B162" s="14" t="s">
        <v>487</v>
      </c>
      <c r="C162" s="5" t="s">
        <v>345</v>
      </c>
      <c r="D162" s="5" t="str">
        <f>IF($C162="","",INDEX([1]PLAN_DESARROLLO!$B:$B,MATCH($C162,[1]PLAN_DESARROLLO!$A:$A,0)))</f>
        <v>2024257770029</v>
      </c>
      <c r="E162" s="5" t="str">
        <f>IF($C162="","",INDEX([1]PLAN_DESARROLLO!$C:$C,MATCH($C162,[1]PLAN_DESARROLLO!$A:$A,0)))</f>
        <v>POR EL SUPATÁ SOÑADO AVANZAMOS JUNTOS EN LA LÍNEA ESTRATÉGICA ECONÓMICA</v>
      </c>
      <c r="F162" s="14" t="str">
        <f>IF($C162="","",INDEX([1]PLAN_DESARROLLO!$D:$D,MATCH($C162,[1]PLAN_DESARROLLO!$A:$A,0)))</f>
        <v>AGROPECUARIO</v>
      </c>
      <c r="G162" s="5" t="str">
        <f>IF($C162="","",INDEX([1]PLAN_DESARROLLO!$E:$E,MATCH($C162,[1]PLAN_DESARROLLO!$A:$A,0)))</f>
        <v xml:space="preserve">gestionar los estudios y diseños de un centro de acopio para productos agropecuarios. </v>
      </c>
      <c r="H162" s="12"/>
      <c r="I162" s="12"/>
      <c r="J162" s="6" t="str">
        <f t="shared" si="8"/>
        <v/>
      </c>
      <c r="K162" s="8"/>
      <c r="L162" s="8"/>
      <c r="M162" s="6" t="str">
        <f t="shared" si="9"/>
        <v/>
      </c>
      <c r="N162" s="5"/>
      <c r="O162" s="5"/>
      <c r="P162" s="5"/>
      <c r="Q162" s="5"/>
      <c r="R162" s="5"/>
      <c r="S162" s="5"/>
      <c r="T162" s="10">
        <v>46036</v>
      </c>
      <c r="U162" s="5"/>
    </row>
    <row r="163" spans="1:21" ht="45" x14ac:dyDescent="0.25">
      <c r="A163" s="5" t="s">
        <v>498</v>
      </c>
      <c r="B163" s="14" t="s">
        <v>487</v>
      </c>
      <c r="C163" s="5" t="s">
        <v>345</v>
      </c>
      <c r="D163" s="5" t="str">
        <f>IF($C163="","",INDEX([1]PLAN_DESARROLLO!$B:$B,MATCH($C163,[1]PLAN_DESARROLLO!$A:$A,0)))</f>
        <v>2024257770029</v>
      </c>
      <c r="E163" s="5" t="str">
        <f>IF($C163="","",INDEX([1]PLAN_DESARROLLO!$C:$C,MATCH($C163,[1]PLAN_DESARROLLO!$A:$A,0)))</f>
        <v>POR EL SUPATÁ SOÑADO AVANZAMOS JUNTOS EN LA LÍNEA ESTRATÉGICA ECONÓMICA</v>
      </c>
      <c r="F163" s="14" t="str">
        <f>IF($C163="","",INDEX([1]PLAN_DESARROLLO!$D:$D,MATCH($C163,[1]PLAN_DESARROLLO!$A:$A,0)))</f>
        <v>AGROPECUARIO</v>
      </c>
      <c r="G163" s="5" t="str">
        <f>IF($C163="","",INDEX([1]PLAN_DESARROLLO!$E:$E,MATCH($C163,[1]PLAN_DESARROLLO!$A:$A,0)))</f>
        <v xml:space="preserve">gestionar los estudios y diseños de un centro de acopio para productos agropecuarios. </v>
      </c>
      <c r="H163" s="12"/>
      <c r="I163" s="12"/>
      <c r="J163" s="6" t="str">
        <f t="shared" si="8"/>
        <v/>
      </c>
      <c r="K163" s="8"/>
      <c r="L163" s="8"/>
      <c r="M163" s="6" t="str">
        <f t="shared" si="9"/>
        <v/>
      </c>
      <c r="N163" s="5"/>
      <c r="O163" s="5"/>
      <c r="P163" s="5"/>
      <c r="Q163" s="5"/>
      <c r="R163" s="5"/>
      <c r="S163" s="5"/>
      <c r="T163" s="10">
        <v>46036</v>
      </c>
      <c r="U163" s="5"/>
    </row>
    <row r="164" spans="1:21" ht="45" x14ac:dyDescent="0.25">
      <c r="A164" s="5" t="s">
        <v>494</v>
      </c>
      <c r="B164" s="14" t="s">
        <v>487</v>
      </c>
      <c r="C164" s="5" t="s">
        <v>444</v>
      </c>
      <c r="D164" s="5" t="str">
        <f>IF($C164="","",INDEX([1]PLAN_DESARROLLO!$B:$B,MATCH($C164,[1]PLAN_DESARROLLO!$A:$A,0)))</f>
        <v>202500000008969</v>
      </c>
      <c r="E164" s="5" t="str">
        <f>IF($C164="","",INDEX([1]PLAN_DESARROLLO!$C:$C,MATCH($C164,[1]PLAN_DESARROLLO!$A:$A,0)))</f>
        <v>POR EL SUPATÁ SOÑADO AVANZAMOS JUNTOS EN LA LÍNEA ESTRATÉGICA AMBIENTAL</v>
      </c>
      <c r="F164" s="14" t="str">
        <f>IF($C164="","",INDEX([1]PLAN_DESARROLLO!$D:$D,MATCH($C164,[1]PLAN_DESARROLLO!$A:$A,0)))</f>
        <v>AMBIENTE</v>
      </c>
      <c r="G164" s="5" t="str">
        <f>IF($C164="","",INDEX([1]PLAN_DESARROLLO!$E:$E,MATCH($C164,[1]PLAN_DESARROLLO!$A:$A,0)))</f>
        <v>Adelantar acciones para la implementación del plan de adaptación al cambio climático</v>
      </c>
      <c r="H164" s="12">
        <v>0</v>
      </c>
      <c r="I164" s="12"/>
      <c r="J164" s="6" t="str">
        <f t="shared" si="8"/>
        <v/>
      </c>
      <c r="K164" s="8">
        <v>2500000</v>
      </c>
      <c r="L164" s="8">
        <v>0</v>
      </c>
      <c r="M164" s="6">
        <f t="shared" si="9"/>
        <v>0</v>
      </c>
      <c r="N164" s="5"/>
      <c r="O164" s="5"/>
      <c r="P164" s="5"/>
      <c r="Q164" s="5"/>
      <c r="R164" s="5"/>
      <c r="S164" s="5"/>
      <c r="T164" s="10">
        <v>46027</v>
      </c>
      <c r="U164" s="5"/>
    </row>
    <row r="165" spans="1:21" ht="45" x14ac:dyDescent="0.25">
      <c r="A165" s="5" t="s">
        <v>498</v>
      </c>
      <c r="B165" s="14" t="s">
        <v>487</v>
      </c>
      <c r="C165" s="5" t="s">
        <v>444</v>
      </c>
      <c r="D165" s="5" t="str">
        <f>IF($C165="","",INDEX([1]PLAN_DESARROLLO!$B:$B,MATCH($C165,[1]PLAN_DESARROLLO!$A:$A,0)))</f>
        <v>202500000008969</v>
      </c>
      <c r="E165" s="5" t="str">
        <f>IF($C165="","",INDEX([1]PLAN_DESARROLLO!$C:$C,MATCH($C165,[1]PLAN_DESARROLLO!$A:$A,0)))</f>
        <v>POR EL SUPATÁ SOÑADO AVANZAMOS JUNTOS EN LA LÍNEA ESTRATÉGICA AMBIENTAL</v>
      </c>
      <c r="F165" s="14" t="str">
        <f>IF($C165="","",INDEX([1]PLAN_DESARROLLO!$D:$D,MATCH($C165,[1]PLAN_DESARROLLO!$A:$A,0)))</f>
        <v>AMBIENTE</v>
      </c>
      <c r="G165" s="5" t="str">
        <f>IF($C165="","",INDEX([1]PLAN_DESARROLLO!$E:$E,MATCH($C165,[1]PLAN_DESARROLLO!$A:$A,0)))</f>
        <v>Adelantar acciones para la implementación del plan de adaptación al cambio climático</v>
      </c>
      <c r="H165" s="12">
        <v>0</v>
      </c>
      <c r="I165" s="12"/>
      <c r="J165" s="6" t="str">
        <f t="shared" si="8"/>
        <v/>
      </c>
      <c r="K165" s="8">
        <v>2500000</v>
      </c>
      <c r="L165" s="8">
        <v>0</v>
      </c>
      <c r="M165" s="6">
        <f t="shared" si="9"/>
        <v>0</v>
      </c>
      <c r="N165" s="5"/>
      <c r="O165" s="5"/>
      <c r="P165" s="5"/>
      <c r="Q165" s="5"/>
      <c r="R165" s="5"/>
      <c r="S165" s="5"/>
      <c r="T165" s="10">
        <v>46027</v>
      </c>
      <c r="U165" s="5"/>
    </row>
    <row r="166" spans="1:21" ht="45" x14ac:dyDescent="0.25">
      <c r="A166" s="5" t="s">
        <v>494</v>
      </c>
      <c r="B166" s="14" t="s">
        <v>487</v>
      </c>
      <c r="C166" s="5" t="s">
        <v>448</v>
      </c>
      <c r="D166" s="5" t="str">
        <f>IF($C166="","",INDEX([1]PLAN_DESARROLLO!$B:$B,MATCH($C166,[1]PLAN_DESARROLLO!$A:$A,0)))</f>
        <v>202500000008969</v>
      </c>
      <c r="E166" s="5" t="str">
        <f>IF($C166="","",INDEX([1]PLAN_DESARROLLO!$C:$C,MATCH($C166,[1]PLAN_DESARROLLO!$A:$A,0)))</f>
        <v>POR EL SUPATÁ SOÑADO AVANZAMOS JUNTOS EN LA LÍNEA ESTRATÉGICA AMBIENTAL</v>
      </c>
      <c r="F166" s="14" t="str">
        <f>IF($C166="","",INDEX([1]PLAN_DESARROLLO!$D:$D,MATCH($C166,[1]PLAN_DESARROLLO!$A:$A,0)))</f>
        <v>AMBIENTE</v>
      </c>
      <c r="G166" s="5" t="str">
        <f>IF($C166="","",INDEX([1]PLAN_DESARROLLO!$E:$E,MATCH($C166,[1]PLAN_DESARROLLO!$A:$A,0)))</f>
        <v>Realizar 4 campañas que aporten a la disminución de contaminantes por residuos solidos.</v>
      </c>
      <c r="H166" s="12">
        <v>1</v>
      </c>
      <c r="I166" s="12">
        <v>1</v>
      </c>
      <c r="J166" s="6">
        <f t="shared" si="8"/>
        <v>1</v>
      </c>
      <c r="K166" s="8">
        <v>5000000</v>
      </c>
      <c r="L166" s="8">
        <v>5000000</v>
      </c>
      <c r="M166" s="6">
        <f t="shared" si="9"/>
        <v>1</v>
      </c>
      <c r="N166" s="5" t="s">
        <v>627</v>
      </c>
      <c r="O166" s="5" t="s">
        <v>496</v>
      </c>
      <c r="P166" s="5" t="s">
        <v>499</v>
      </c>
      <c r="Q166" s="5" t="s">
        <v>506</v>
      </c>
      <c r="R166" s="5"/>
      <c r="S166" s="5"/>
      <c r="T166" s="10">
        <v>46027</v>
      </c>
      <c r="U166" s="5"/>
    </row>
    <row r="167" spans="1:21" ht="75" x14ac:dyDescent="0.25">
      <c r="A167" s="5" t="s">
        <v>498</v>
      </c>
      <c r="B167" s="14" t="s">
        <v>487</v>
      </c>
      <c r="C167" s="5" t="s">
        <v>448</v>
      </c>
      <c r="D167" s="5" t="str">
        <f>IF($C167="","",INDEX([1]PLAN_DESARROLLO!$B:$B,MATCH($C167,[1]PLAN_DESARROLLO!$A:$A,0)))</f>
        <v>202500000008969</v>
      </c>
      <c r="E167" s="5" t="str">
        <f>IF($C167="","",INDEX([1]PLAN_DESARROLLO!$C:$C,MATCH($C167,[1]PLAN_DESARROLLO!$A:$A,0)))</f>
        <v>POR EL SUPATÁ SOÑADO AVANZAMOS JUNTOS EN LA LÍNEA ESTRATÉGICA AMBIENTAL</v>
      </c>
      <c r="F167" s="14" t="str">
        <f>IF($C167="","",INDEX([1]PLAN_DESARROLLO!$D:$D,MATCH($C167,[1]PLAN_DESARROLLO!$A:$A,0)))</f>
        <v>AMBIENTE</v>
      </c>
      <c r="G167" s="5" t="str">
        <f>IF($C167="","",INDEX([1]PLAN_DESARROLLO!$E:$E,MATCH($C167,[1]PLAN_DESARROLLO!$A:$A,0)))</f>
        <v>Realizar 4 campañas que aporten a la disminución de contaminantes por residuos solidos.</v>
      </c>
      <c r="H167" s="12">
        <v>1</v>
      </c>
      <c r="I167" s="12">
        <v>1</v>
      </c>
      <c r="J167" s="6">
        <f t="shared" si="8"/>
        <v>1</v>
      </c>
      <c r="K167" s="8">
        <v>5000000</v>
      </c>
      <c r="L167" s="8">
        <v>5000000</v>
      </c>
      <c r="M167" s="6">
        <f t="shared" si="9"/>
        <v>1</v>
      </c>
      <c r="N167" s="5" t="s">
        <v>628</v>
      </c>
      <c r="O167" s="5" t="s">
        <v>496</v>
      </c>
      <c r="P167" s="5" t="s">
        <v>499</v>
      </c>
      <c r="Q167" s="5" t="s">
        <v>506</v>
      </c>
      <c r="R167" s="5"/>
      <c r="S167" s="5"/>
      <c r="T167" s="10">
        <v>46027</v>
      </c>
      <c r="U167" s="5"/>
    </row>
    <row r="168" spans="1:21" ht="45" x14ac:dyDescent="0.25">
      <c r="A168" s="5" t="s">
        <v>494</v>
      </c>
      <c r="B168" s="14" t="s">
        <v>487</v>
      </c>
      <c r="C168" s="5" t="s">
        <v>450</v>
      </c>
      <c r="D168" s="5" t="str">
        <f>IF($C168="","",INDEX([1]PLAN_DESARROLLO!$B:$B,MATCH($C168,[1]PLAN_DESARROLLO!$A:$A,0)))</f>
        <v>202500000008969</v>
      </c>
      <c r="E168" s="5" t="str">
        <f>IF($C168="","",INDEX([1]PLAN_DESARROLLO!$C:$C,MATCH($C168,[1]PLAN_DESARROLLO!$A:$A,0)))</f>
        <v>POR EL SUPATÁ SOÑADO AVANZAMOS JUNTOS EN LA LÍNEA ESTRATÉGICA AMBIENTAL</v>
      </c>
      <c r="F168" s="14" t="str">
        <f>IF($C168="","",INDEX([1]PLAN_DESARROLLO!$D:$D,MATCH($C168,[1]PLAN_DESARROLLO!$A:$A,0)))</f>
        <v>AMBIENTE</v>
      </c>
      <c r="G168" s="5" t="str">
        <f>IF($C168="","",INDEX([1]PLAN_DESARROLLO!$E:$E,MATCH($C168,[1]PLAN_DESARROLLO!$A:$A,0)))</f>
        <v>Realizar el calculo de la huella de carbono del palacio municipal</v>
      </c>
      <c r="H168" s="12">
        <v>1</v>
      </c>
      <c r="I168" s="12">
        <v>1</v>
      </c>
      <c r="J168" s="6">
        <f t="shared" si="8"/>
        <v>1</v>
      </c>
      <c r="K168" s="8">
        <v>2500000</v>
      </c>
      <c r="L168" s="8">
        <v>2500000</v>
      </c>
      <c r="M168" s="6">
        <f t="shared" si="9"/>
        <v>1</v>
      </c>
      <c r="N168" s="5" t="s">
        <v>629</v>
      </c>
      <c r="O168" s="5" t="s">
        <v>496</v>
      </c>
      <c r="P168" s="5"/>
      <c r="Q168" s="5" t="s">
        <v>501</v>
      </c>
      <c r="R168" s="5"/>
      <c r="S168" s="5"/>
      <c r="T168" s="10">
        <v>46027</v>
      </c>
      <c r="U168" s="5"/>
    </row>
    <row r="169" spans="1:21" ht="45" x14ac:dyDescent="0.25">
      <c r="A169" s="5" t="s">
        <v>498</v>
      </c>
      <c r="B169" s="14" t="s">
        <v>487</v>
      </c>
      <c r="C169" s="5" t="s">
        <v>450</v>
      </c>
      <c r="D169" s="5" t="str">
        <f>IF($C169="","",INDEX([1]PLAN_DESARROLLO!$B:$B,MATCH($C169,[1]PLAN_DESARROLLO!$A:$A,0)))</f>
        <v>202500000008969</v>
      </c>
      <c r="E169" s="5" t="str">
        <f>IF($C169="","",INDEX([1]PLAN_DESARROLLO!$C:$C,MATCH($C169,[1]PLAN_DESARROLLO!$A:$A,0)))</f>
        <v>POR EL SUPATÁ SOÑADO AVANZAMOS JUNTOS EN LA LÍNEA ESTRATÉGICA AMBIENTAL</v>
      </c>
      <c r="F169" s="14" t="str">
        <f>IF($C169="","",INDEX([1]PLAN_DESARROLLO!$D:$D,MATCH($C169,[1]PLAN_DESARROLLO!$A:$A,0)))</f>
        <v>AMBIENTE</v>
      </c>
      <c r="G169" s="5" t="str">
        <f>IF($C169="","",INDEX([1]PLAN_DESARROLLO!$E:$E,MATCH($C169,[1]PLAN_DESARROLLO!$A:$A,0)))</f>
        <v>Realizar el calculo de la huella de carbono del palacio municipal</v>
      </c>
      <c r="H169" s="12">
        <v>1</v>
      </c>
      <c r="I169" s="12">
        <v>1</v>
      </c>
      <c r="J169" s="6">
        <f t="shared" si="8"/>
        <v>1</v>
      </c>
      <c r="K169" s="8">
        <v>2500000</v>
      </c>
      <c r="L169" s="8">
        <v>2500000</v>
      </c>
      <c r="M169" s="6">
        <f t="shared" si="9"/>
        <v>1</v>
      </c>
      <c r="N169" s="5" t="s">
        <v>629</v>
      </c>
      <c r="O169" s="5" t="s">
        <v>496</v>
      </c>
      <c r="P169" s="5"/>
      <c r="Q169" s="5" t="s">
        <v>501</v>
      </c>
      <c r="R169" s="5"/>
      <c r="S169" s="5"/>
      <c r="T169" s="10">
        <v>46027</v>
      </c>
      <c r="U169" s="5"/>
    </row>
    <row r="170" spans="1:21" ht="45" x14ac:dyDescent="0.25">
      <c r="A170" s="5" t="s">
        <v>494</v>
      </c>
      <c r="B170" s="14" t="s">
        <v>487</v>
      </c>
      <c r="C170" s="5" t="s">
        <v>452</v>
      </c>
      <c r="D170" s="5" t="str">
        <f>IF($C170="","",INDEX([1]PLAN_DESARROLLO!$B:$B,MATCH($C170,[1]PLAN_DESARROLLO!$A:$A,0)))</f>
        <v>202500000009590</v>
      </c>
      <c r="E170" s="5" t="str">
        <f>IF($C170="","",INDEX([1]PLAN_DESARROLLO!$C:$C,MATCH($C170,[1]PLAN_DESARROLLO!$A:$A,0)))</f>
        <v>POR EL SUPATÁ SOÑADO AVANZAMOS JUNTOS EN LA LÍNEA ESTRATÉGICA AMBIENTAL</v>
      </c>
      <c r="F170" s="14" t="str">
        <f>IF($C170="","",INDEX([1]PLAN_DESARROLLO!$D:$D,MATCH($C170,[1]PLAN_DESARROLLO!$A:$A,0)))</f>
        <v>AMBIENTE</v>
      </c>
      <c r="G170" s="5" t="str">
        <f>IF($C170="","",INDEX([1]PLAN_DESARROLLO!$E:$E,MATCH($C170,[1]PLAN_DESARROLLO!$A:$A,0)))</f>
        <v>Adoptar el 50% de las metas de la política de educación ambiental propuesta por las Corporaciones autónomas regionales en cada territorio</v>
      </c>
      <c r="H170" s="12">
        <v>10</v>
      </c>
      <c r="I170" s="12">
        <v>10</v>
      </c>
      <c r="J170" s="6">
        <f t="shared" si="8"/>
        <v>1</v>
      </c>
      <c r="K170" s="8">
        <v>0</v>
      </c>
      <c r="L170" s="8">
        <v>0</v>
      </c>
      <c r="M170" s="6">
        <f t="shared" si="9"/>
        <v>0</v>
      </c>
      <c r="N170" s="5" t="s">
        <v>630</v>
      </c>
      <c r="O170" s="5" t="s">
        <v>496</v>
      </c>
      <c r="P170" s="5" t="s">
        <v>499</v>
      </c>
      <c r="Q170" s="5" t="s">
        <v>501</v>
      </c>
      <c r="R170" s="5"/>
      <c r="S170" s="5"/>
      <c r="T170" s="10">
        <v>46027</v>
      </c>
      <c r="U170" s="5"/>
    </row>
    <row r="171" spans="1:21" ht="45" x14ac:dyDescent="0.25">
      <c r="A171" s="5" t="s">
        <v>498</v>
      </c>
      <c r="B171" s="14" t="s">
        <v>487</v>
      </c>
      <c r="C171" s="5" t="s">
        <v>452</v>
      </c>
      <c r="D171" s="5" t="str">
        <f>IF($C171="","",INDEX([1]PLAN_DESARROLLO!$B:$B,MATCH($C171,[1]PLAN_DESARROLLO!$A:$A,0)))</f>
        <v>202500000009590</v>
      </c>
      <c r="E171" s="5" t="str">
        <f>IF($C171="","",INDEX([1]PLAN_DESARROLLO!$C:$C,MATCH($C171,[1]PLAN_DESARROLLO!$A:$A,0)))</f>
        <v>POR EL SUPATÁ SOÑADO AVANZAMOS JUNTOS EN LA LÍNEA ESTRATÉGICA AMBIENTAL</v>
      </c>
      <c r="F171" s="14" t="str">
        <f>IF($C171="","",INDEX([1]PLAN_DESARROLLO!$D:$D,MATCH($C171,[1]PLAN_DESARROLLO!$A:$A,0)))</f>
        <v>AMBIENTE</v>
      </c>
      <c r="G171" s="5" t="str">
        <f>IF($C171="","",INDEX([1]PLAN_DESARROLLO!$E:$E,MATCH($C171,[1]PLAN_DESARROLLO!$A:$A,0)))</f>
        <v>Adoptar el 50% de las metas de la política de educación ambiental propuesta por las Corporaciones autónomas regionales en cada territorio</v>
      </c>
      <c r="H171" s="12">
        <v>15</v>
      </c>
      <c r="I171" s="12">
        <v>15</v>
      </c>
      <c r="J171" s="6">
        <f t="shared" si="8"/>
        <v>1</v>
      </c>
      <c r="K171" s="8">
        <v>0</v>
      </c>
      <c r="L171" s="8">
        <v>0</v>
      </c>
      <c r="M171" s="6">
        <f t="shared" si="9"/>
        <v>0</v>
      </c>
      <c r="N171" s="5" t="s">
        <v>630</v>
      </c>
      <c r="O171" s="5" t="s">
        <v>496</v>
      </c>
      <c r="P171" s="5" t="s">
        <v>499</v>
      </c>
      <c r="Q171" s="5" t="s">
        <v>501</v>
      </c>
      <c r="R171" s="5"/>
      <c r="S171" s="5"/>
      <c r="T171" s="10">
        <v>46027</v>
      </c>
      <c r="U171" s="5"/>
    </row>
    <row r="172" spans="1:21" ht="90" x14ac:dyDescent="0.25">
      <c r="A172" s="5" t="s">
        <v>494</v>
      </c>
      <c r="B172" s="14" t="s">
        <v>487</v>
      </c>
      <c r="C172" s="5" t="s">
        <v>455</v>
      </c>
      <c r="D172" s="5" t="str">
        <f>IF($C172="","",INDEX([1]PLAN_DESARROLLO!$B:$B,MATCH($C172,[1]PLAN_DESARROLLO!$A:$A,0)))</f>
        <v>202500000009590</v>
      </c>
      <c r="E172" s="5" t="str">
        <f>IF($C172="","",INDEX([1]PLAN_DESARROLLO!$C:$C,MATCH($C172,[1]PLAN_DESARROLLO!$A:$A,0)))</f>
        <v>POR EL SUPATÁ SOÑADO AVANZAMOS JUNTOS EN LA LÍNEA ESTRATÉGICA AMBIENTAL</v>
      </c>
      <c r="F172" s="14" t="str">
        <f>IF($C172="","",INDEX([1]PLAN_DESARROLLO!$D:$D,MATCH($C172,[1]PLAN_DESARROLLO!$A:$A,0)))</f>
        <v>AMBIENTE</v>
      </c>
      <c r="G172" s="5" t="str">
        <f>IF($C172="","",INDEX([1]PLAN_DESARROLLO!$E:$E,MATCH($C172,[1]PLAN_DESARROLLO!$A:$A,0)))</f>
        <v>Implementar 4 capacitaciones y/o talleres con estrategias hacia la educación ambiental y sensibilización hacia el cuidado de los recursos hidricos</v>
      </c>
      <c r="H172" s="12">
        <v>1</v>
      </c>
      <c r="I172" s="12">
        <v>1</v>
      </c>
      <c r="J172" s="6">
        <f t="shared" si="8"/>
        <v>1</v>
      </c>
      <c r="K172" s="8">
        <v>0</v>
      </c>
      <c r="L172" s="8">
        <v>0</v>
      </c>
      <c r="M172" s="6">
        <f t="shared" si="9"/>
        <v>0</v>
      </c>
      <c r="N172" s="23" t="s">
        <v>631</v>
      </c>
      <c r="O172" s="5" t="s">
        <v>496</v>
      </c>
      <c r="P172" s="5" t="s">
        <v>499</v>
      </c>
      <c r="Q172" s="5" t="s">
        <v>506</v>
      </c>
      <c r="R172" s="5"/>
      <c r="S172" s="5"/>
      <c r="T172" s="10">
        <v>46027</v>
      </c>
      <c r="U172" s="5"/>
    </row>
    <row r="173" spans="1:21" ht="90" x14ac:dyDescent="0.25">
      <c r="A173" s="5" t="s">
        <v>498</v>
      </c>
      <c r="B173" s="14" t="s">
        <v>487</v>
      </c>
      <c r="C173" s="5" t="s">
        <v>455</v>
      </c>
      <c r="D173" s="5" t="str">
        <f>IF($C173="","",INDEX([1]PLAN_DESARROLLO!$B:$B,MATCH($C173,[1]PLAN_DESARROLLO!$A:$A,0)))</f>
        <v>202500000009590</v>
      </c>
      <c r="E173" s="5" t="str">
        <f>IF($C173="","",INDEX([1]PLAN_DESARROLLO!$C:$C,MATCH($C173,[1]PLAN_DESARROLLO!$A:$A,0)))</f>
        <v>POR EL SUPATÁ SOÑADO AVANZAMOS JUNTOS EN LA LÍNEA ESTRATÉGICA AMBIENTAL</v>
      </c>
      <c r="F173" s="14" t="str">
        <f>IF($C173="","",INDEX([1]PLAN_DESARROLLO!$D:$D,MATCH($C173,[1]PLAN_DESARROLLO!$A:$A,0)))</f>
        <v>AMBIENTE</v>
      </c>
      <c r="G173" s="5" t="str">
        <f>IF($C173="","",INDEX([1]PLAN_DESARROLLO!$E:$E,MATCH($C173,[1]PLAN_DESARROLLO!$A:$A,0)))</f>
        <v>Implementar 4 capacitaciones y/o talleres con estrategias hacia la educación ambiental y sensibilización hacia el cuidado de los recursos hidricos</v>
      </c>
      <c r="H173" s="12">
        <v>1</v>
      </c>
      <c r="I173" s="12">
        <v>1</v>
      </c>
      <c r="J173" s="6">
        <f t="shared" si="8"/>
        <v>1</v>
      </c>
      <c r="K173" s="8">
        <v>0</v>
      </c>
      <c r="L173" s="8">
        <v>0</v>
      </c>
      <c r="M173" s="6">
        <f t="shared" si="9"/>
        <v>0</v>
      </c>
      <c r="N173" s="23" t="s">
        <v>631</v>
      </c>
      <c r="O173" s="5" t="s">
        <v>496</v>
      </c>
      <c r="P173" s="5" t="s">
        <v>499</v>
      </c>
      <c r="Q173" s="5" t="s">
        <v>506</v>
      </c>
      <c r="R173" s="5"/>
      <c r="S173" s="5"/>
      <c r="T173" s="10">
        <v>46027</v>
      </c>
      <c r="U173" s="5"/>
    </row>
    <row r="174" spans="1:21" ht="45" x14ac:dyDescent="0.25">
      <c r="A174" s="5" t="s">
        <v>494</v>
      </c>
      <c r="B174" s="14" t="s">
        <v>487</v>
      </c>
      <c r="C174" s="5" t="s">
        <v>457</v>
      </c>
      <c r="D174" s="5" t="str">
        <f>IF($C174="","",INDEX([1]PLAN_DESARROLLO!$B:$B,MATCH($C174,[1]PLAN_DESARROLLO!$A:$A,0)))</f>
        <v>202500000009587</v>
      </c>
      <c r="E174" s="5" t="str">
        <f>IF($C174="","",INDEX([1]PLAN_DESARROLLO!$C:$C,MATCH($C174,[1]PLAN_DESARROLLO!$A:$A,0)))</f>
        <v>POR EL SUPATÁ SOÑADO AVANZAMOS JUNTOS EN LA LÍNEA ESTRATÉGICA AMBIENTAL</v>
      </c>
      <c r="F174" s="14" t="str">
        <f>IF($C174="","",INDEX([1]PLAN_DESARROLLO!$D:$D,MATCH($C174,[1]PLAN_DESARROLLO!$A:$A,0)))</f>
        <v>AMBIENTE</v>
      </c>
      <c r="G174" s="5" t="str">
        <f>IF($C174="","",INDEX([1]PLAN_DESARROLLO!$E:$E,MATCH($C174,[1]PLAN_DESARROLLO!$A:$A,0)))</f>
        <v xml:space="preserve">Implementar la política pública de bienestar animal </v>
      </c>
      <c r="H174" s="12">
        <v>0</v>
      </c>
      <c r="I174" s="12"/>
      <c r="J174" s="6" t="str">
        <f t="shared" si="8"/>
        <v/>
      </c>
      <c r="K174" s="8">
        <v>5000000</v>
      </c>
      <c r="L174" s="8">
        <v>0</v>
      </c>
      <c r="M174" s="6">
        <v>0</v>
      </c>
      <c r="N174" s="5"/>
      <c r="O174" s="5" t="s">
        <v>496</v>
      </c>
      <c r="P174" s="5"/>
      <c r="Q174" s="5"/>
      <c r="R174" s="5"/>
      <c r="S174" s="5"/>
      <c r="T174" s="10">
        <v>46027</v>
      </c>
      <c r="U174" s="5"/>
    </row>
    <row r="175" spans="1:21" ht="45" x14ac:dyDescent="0.25">
      <c r="A175" s="5" t="s">
        <v>498</v>
      </c>
      <c r="B175" s="14" t="s">
        <v>487</v>
      </c>
      <c r="C175" s="5" t="s">
        <v>457</v>
      </c>
      <c r="D175" s="5" t="str">
        <f>IF($C175="","",INDEX([1]PLAN_DESARROLLO!$B:$B,MATCH($C175,[1]PLAN_DESARROLLO!$A:$A,0)))</f>
        <v>202500000009587</v>
      </c>
      <c r="E175" s="5" t="str">
        <f>IF($C175="","",INDEX([1]PLAN_DESARROLLO!$C:$C,MATCH($C175,[1]PLAN_DESARROLLO!$A:$A,0)))</f>
        <v>POR EL SUPATÁ SOÑADO AVANZAMOS JUNTOS EN LA LÍNEA ESTRATÉGICA AMBIENTAL</v>
      </c>
      <c r="F175" s="14" t="str">
        <f>IF($C175="","",INDEX([1]PLAN_DESARROLLO!$D:$D,MATCH($C175,[1]PLAN_DESARROLLO!$A:$A,0)))</f>
        <v>AMBIENTE</v>
      </c>
      <c r="G175" s="5" t="str">
        <f>IF($C175="","",INDEX([1]PLAN_DESARROLLO!$E:$E,MATCH($C175,[1]PLAN_DESARROLLO!$A:$A,0)))</f>
        <v xml:space="preserve">Implementar la política pública de bienestar animal </v>
      </c>
      <c r="H175" s="12">
        <v>1</v>
      </c>
      <c r="I175" s="12"/>
      <c r="J175" s="6" t="str">
        <f t="shared" si="8"/>
        <v/>
      </c>
      <c r="K175" s="8">
        <v>5000000</v>
      </c>
      <c r="L175" s="8"/>
      <c r="M175" s="6" t="str">
        <f t="shared" si="9"/>
        <v/>
      </c>
      <c r="N175" s="5"/>
      <c r="O175" s="5" t="s">
        <v>496</v>
      </c>
      <c r="P175" s="5"/>
      <c r="Q175" s="5"/>
      <c r="R175" s="5"/>
      <c r="S175" s="5"/>
      <c r="T175" s="10">
        <v>46027</v>
      </c>
      <c r="U175" s="5"/>
    </row>
    <row r="176" spans="1:21" ht="255" x14ac:dyDescent="0.25">
      <c r="A176" s="5" t="s">
        <v>494</v>
      </c>
      <c r="B176" s="14" t="s">
        <v>487</v>
      </c>
      <c r="C176" s="5" t="s">
        <v>460</v>
      </c>
      <c r="D176" s="5" t="str">
        <f>IF($C176="","",INDEX([1]PLAN_DESARROLLO!$B:$B,MATCH($C176,[1]PLAN_DESARROLLO!$A:$A,0)))</f>
        <v>202500000009587</v>
      </c>
      <c r="E176" s="5" t="str">
        <f>IF($C176="","",INDEX([1]PLAN_DESARROLLO!$C:$C,MATCH($C176,[1]PLAN_DESARROLLO!$A:$A,0)))</f>
        <v>POR EL SUPATÁ SOÑADO AVANZAMOS JUNTOS EN LA LÍNEA ESTRATÉGICA AMBIENTAL</v>
      </c>
      <c r="F176" s="14" t="str">
        <f>IF($C176="","",INDEX([1]PLAN_DESARROLLO!$D:$D,MATCH($C176,[1]PLAN_DESARROLLO!$A:$A,0)))</f>
        <v>AMBIENTE</v>
      </c>
      <c r="G176" s="5" t="str">
        <f>IF($C176="","",INDEX([1]PLAN_DESARROLLO!$E:$E,MATCH($C176,[1]PLAN_DESARROLLO!$A:$A,0)))</f>
        <v>Realizar (4) jornadas de reforestación y cultura ambiental</v>
      </c>
      <c r="H176" s="12">
        <v>1</v>
      </c>
      <c r="I176" s="12">
        <v>1</v>
      </c>
      <c r="J176" s="6">
        <f t="shared" si="8"/>
        <v>1</v>
      </c>
      <c r="K176" s="8">
        <v>0</v>
      </c>
      <c r="L176" s="8">
        <v>0</v>
      </c>
      <c r="M176" s="6">
        <f t="shared" si="9"/>
        <v>0</v>
      </c>
      <c r="N176" s="5" t="s">
        <v>632</v>
      </c>
      <c r="O176" s="5" t="s">
        <v>496</v>
      </c>
      <c r="P176" s="5" t="s">
        <v>499</v>
      </c>
      <c r="Q176" s="5" t="s">
        <v>501</v>
      </c>
      <c r="R176" s="5"/>
      <c r="S176" s="5"/>
      <c r="T176" s="10">
        <v>46027</v>
      </c>
      <c r="U176" s="5"/>
    </row>
    <row r="177" spans="1:21" ht="255" x14ac:dyDescent="0.25">
      <c r="A177" s="5" t="s">
        <v>498</v>
      </c>
      <c r="B177" s="14" t="s">
        <v>487</v>
      </c>
      <c r="C177" s="5" t="s">
        <v>460</v>
      </c>
      <c r="D177" s="5" t="str">
        <f>IF($C177="","",INDEX([1]PLAN_DESARROLLO!$B:$B,MATCH($C177,[1]PLAN_DESARROLLO!$A:$A,0)))</f>
        <v>202500000009587</v>
      </c>
      <c r="E177" s="5" t="str">
        <f>IF($C177="","",INDEX([1]PLAN_DESARROLLO!$C:$C,MATCH($C177,[1]PLAN_DESARROLLO!$A:$A,0)))</f>
        <v>POR EL SUPATÁ SOÑADO AVANZAMOS JUNTOS EN LA LÍNEA ESTRATÉGICA AMBIENTAL</v>
      </c>
      <c r="F177" s="14" t="str">
        <f>IF($C177="","",INDEX([1]PLAN_DESARROLLO!$D:$D,MATCH($C177,[1]PLAN_DESARROLLO!$A:$A,0)))</f>
        <v>AMBIENTE</v>
      </c>
      <c r="G177" s="5" t="str">
        <f>IF($C177="","",INDEX([1]PLAN_DESARROLLO!$E:$E,MATCH($C177,[1]PLAN_DESARROLLO!$A:$A,0)))</f>
        <v>Realizar (4) jornadas de reforestación y cultura ambiental</v>
      </c>
      <c r="H177" s="12">
        <v>1</v>
      </c>
      <c r="I177" s="12">
        <v>1</v>
      </c>
      <c r="J177" s="6">
        <f t="shared" si="8"/>
        <v>1</v>
      </c>
      <c r="K177" s="8">
        <v>0</v>
      </c>
      <c r="L177" s="8">
        <v>0</v>
      </c>
      <c r="M177" s="6">
        <f t="shared" si="9"/>
        <v>0</v>
      </c>
      <c r="N177" s="5" t="s">
        <v>632</v>
      </c>
      <c r="O177" s="5" t="s">
        <v>496</v>
      </c>
      <c r="P177" s="5" t="s">
        <v>499</v>
      </c>
      <c r="Q177" s="5" t="s">
        <v>501</v>
      </c>
      <c r="R177" s="5"/>
      <c r="S177" s="5"/>
      <c r="T177" s="10">
        <v>46027</v>
      </c>
      <c r="U177" s="5"/>
    </row>
    <row r="178" spans="1:21" ht="45" x14ac:dyDescent="0.25">
      <c r="A178" s="5" t="s">
        <v>494</v>
      </c>
      <c r="B178" s="14" t="s">
        <v>487</v>
      </c>
      <c r="C178" s="5" t="s">
        <v>462</v>
      </c>
      <c r="D178" s="5" t="str">
        <f>IF($C178="","",INDEX([1]PLAN_DESARROLLO!$B:$B,MATCH($C178,[1]PLAN_DESARROLLO!$A:$A,0)))</f>
        <v>202500000009587</v>
      </c>
      <c r="E178" s="5" t="str">
        <f>IF($C178="","",INDEX([1]PLAN_DESARROLLO!$C:$C,MATCH($C178,[1]PLAN_DESARROLLO!$A:$A,0)))</f>
        <v>POR EL SUPATÁ SOÑADO AVANZAMOS JUNTOS EN LA LÍNEA ESTRATÉGICA AMBIENTAL</v>
      </c>
      <c r="F178" s="14" t="str">
        <f>IF($C178="","",INDEX([1]PLAN_DESARROLLO!$D:$D,MATCH($C178,[1]PLAN_DESARROLLO!$A:$A,0)))</f>
        <v>AMBIENTE</v>
      </c>
      <c r="G178" s="5" t="str">
        <f>IF($C178="","",INDEX([1]PLAN_DESARROLLO!$E:$E,MATCH($C178,[1]PLAN_DESARROLLO!$A:$A,0)))</f>
        <v>Incentivar el pago por servicios ambientales</v>
      </c>
      <c r="H178" s="12"/>
      <c r="I178" s="12"/>
      <c r="J178" s="6" t="str">
        <f t="shared" si="8"/>
        <v/>
      </c>
      <c r="K178" s="8"/>
      <c r="L178" s="8"/>
      <c r="M178" s="6" t="str">
        <f t="shared" si="9"/>
        <v/>
      </c>
      <c r="N178" s="5"/>
      <c r="O178" s="5" t="s">
        <v>496</v>
      </c>
      <c r="P178" s="5"/>
      <c r="Q178" s="5"/>
      <c r="R178" s="5"/>
      <c r="S178" s="5"/>
      <c r="T178" s="10">
        <v>46027</v>
      </c>
      <c r="U178" s="5"/>
    </row>
    <row r="179" spans="1:21" ht="45" x14ac:dyDescent="0.25">
      <c r="A179" s="5" t="s">
        <v>498</v>
      </c>
      <c r="B179" s="14" t="s">
        <v>487</v>
      </c>
      <c r="C179" s="5" t="s">
        <v>462</v>
      </c>
      <c r="D179" s="5" t="str">
        <f>IF($C179="","",INDEX([1]PLAN_DESARROLLO!$B:$B,MATCH($C179,[1]PLAN_DESARROLLO!$A:$A,0)))</f>
        <v>202500000009587</v>
      </c>
      <c r="E179" s="5" t="str">
        <f>IF($C179="","",INDEX([1]PLAN_DESARROLLO!$C:$C,MATCH($C179,[1]PLAN_DESARROLLO!$A:$A,0)))</f>
        <v>POR EL SUPATÁ SOÑADO AVANZAMOS JUNTOS EN LA LÍNEA ESTRATÉGICA AMBIENTAL</v>
      </c>
      <c r="F179" s="14" t="str">
        <f>IF($C179="","",INDEX([1]PLAN_DESARROLLO!$D:$D,MATCH($C179,[1]PLAN_DESARROLLO!$A:$A,0)))</f>
        <v>AMBIENTE</v>
      </c>
      <c r="G179" s="5" t="str">
        <f>IF($C179="","",INDEX([1]PLAN_DESARROLLO!$E:$E,MATCH($C179,[1]PLAN_DESARROLLO!$A:$A,0)))</f>
        <v>Incentivar el pago por servicios ambientales</v>
      </c>
      <c r="H179" s="12"/>
      <c r="I179" s="12"/>
      <c r="J179" s="6" t="str">
        <f t="shared" si="8"/>
        <v/>
      </c>
      <c r="K179" s="8"/>
      <c r="L179" s="8"/>
      <c r="M179" s="6" t="str">
        <f t="shared" si="9"/>
        <v/>
      </c>
      <c r="N179" s="5"/>
      <c r="O179" s="5" t="s">
        <v>496</v>
      </c>
      <c r="P179" s="5"/>
      <c r="Q179" s="5"/>
      <c r="R179" s="5"/>
      <c r="S179" s="5"/>
      <c r="T179" s="10">
        <v>46027</v>
      </c>
      <c r="U179" s="5"/>
    </row>
    <row r="180" spans="1:21" ht="45" x14ac:dyDescent="0.25">
      <c r="A180" s="5" t="s">
        <v>494</v>
      </c>
      <c r="B180" s="14" t="s">
        <v>487</v>
      </c>
      <c r="C180" s="5" t="s">
        <v>464</v>
      </c>
      <c r="D180" s="5" t="str">
        <f>IF($C180="","",INDEX([1]PLAN_DESARROLLO!$B:$B,MATCH($C180,[1]PLAN_DESARROLLO!$A:$A,0)))</f>
        <v>202500000009587</v>
      </c>
      <c r="E180" s="5" t="str">
        <f>IF($C180="","",INDEX([1]PLAN_DESARROLLO!$C:$C,MATCH($C180,[1]PLAN_DESARROLLO!$A:$A,0)))</f>
        <v>POR EL SUPATÁ SOÑADO AVANZAMOS JUNTOS EN LA LÍNEA ESTRATÉGICA AMBIENTAL</v>
      </c>
      <c r="F180" s="14" t="str">
        <f>IF($C180="","",INDEX([1]PLAN_DESARROLLO!$D:$D,MATCH($C180,[1]PLAN_DESARROLLO!$A:$A,0)))</f>
        <v>AMBIENTE</v>
      </c>
      <c r="G180" s="5" t="str">
        <f>IF($C180="","",INDEX([1]PLAN_DESARROLLO!$E:$E,MATCH($C180,[1]PLAN_DESARROLLO!$A:$A,0)))</f>
        <v>Reactivar la junta defensora de animales</v>
      </c>
      <c r="H180" s="12">
        <v>0</v>
      </c>
      <c r="I180" s="12"/>
      <c r="J180" s="6" t="str">
        <f t="shared" si="8"/>
        <v/>
      </c>
      <c r="K180" s="8">
        <v>5000000</v>
      </c>
      <c r="L180" s="8">
        <v>0</v>
      </c>
      <c r="M180" s="6">
        <f t="shared" si="9"/>
        <v>0</v>
      </c>
      <c r="N180" s="5"/>
      <c r="O180" s="5" t="s">
        <v>496</v>
      </c>
      <c r="P180" s="5"/>
      <c r="Q180" s="5"/>
      <c r="R180" s="5"/>
      <c r="S180" s="5"/>
      <c r="T180" s="10">
        <v>46027</v>
      </c>
      <c r="U180" s="5"/>
    </row>
    <row r="181" spans="1:21" ht="45" x14ac:dyDescent="0.25">
      <c r="A181" s="5" t="s">
        <v>498</v>
      </c>
      <c r="B181" s="14" t="s">
        <v>487</v>
      </c>
      <c r="C181" s="5" t="s">
        <v>464</v>
      </c>
      <c r="D181" s="5" t="str">
        <f>IF($C181="","",INDEX([1]PLAN_DESARROLLO!$B:$B,MATCH($C181,[1]PLAN_DESARROLLO!$A:$A,0)))</f>
        <v>202500000009587</v>
      </c>
      <c r="E181" s="5" t="str">
        <f>IF($C181="","",INDEX([1]PLAN_DESARROLLO!$C:$C,MATCH($C181,[1]PLAN_DESARROLLO!$A:$A,0)))</f>
        <v>POR EL SUPATÁ SOÑADO AVANZAMOS JUNTOS EN LA LÍNEA ESTRATÉGICA AMBIENTAL</v>
      </c>
      <c r="F181" s="14" t="str">
        <f>IF($C181="","",INDEX([1]PLAN_DESARROLLO!$D:$D,MATCH($C181,[1]PLAN_DESARROLLO!$A:$A,0)))</f>
        <v>AMBIENTE</v>
      </c>
      <c r="G181" s="5" t="str">
        <f>IF($C181="","",INDEX([1]PLAN_DESARROLLO!$E:$E,MATCH($C181,[1]PLAN_DESARROLLO!$A:$A,0)))</f>
        <v>Reactivar la junta defensora de animales</v>
      </c>
      <c r="H181" s="12">
        <v>1</v>
      </c>
      <c r="I181" s="12"/>
      <c r="J181" s="6" t="str">
        <f t="shared" si="8"/>
        <v/>
      </c>
      <c r="K181" s="8">
        <v>5000000</v>
      </c>
      <c r="L181" s="8"/>
      <c r="M181" s="6" t="str">
        <f t="shared" si="9"/>
        <v/>
      </c>
      <c r="N181" s="5"/>
      <c r="O181" s="5" t="s">
        <v>496</v>
      </c>
      <c r="P181" s="5"/>
      <c r="Q181" s="5"/>
      <c r="R181" s="5"/>
      <c r="S181" s="5"/>
      <c r="T181" s="10">
        <v>46027</v>
      </c>
      <c r="U181" s="5"/>
    </row>
    <row r="182" spans="1:21" ht="45" x14ac:dyDescent="0.25">
      <c r="A182" s="5" t="s">
        <v>494</v>
      </c>
      <c r="B182" s="14" t="s">
        <v>487</v>
      </c>
      <c r="C182" s="5" t="s">
        <v>466</v>
      </c>
      <c r="D182" s="5" t="str">
        <f>IF($C182="","",INDEX([1]PLAN_DESARROLLO!$B:$B,MATCH($C182,[1]PLAN_DESARROLLO!$A:$A,0)))</f>
        <v>202500000009587</v>
      </c>
      <c r="E182" s="5" t="str">
        <f>IF($C182="","",INDEX([1]PLAN_DESARROLLO!$C:$C,MATCH($C182,[1]PLAN_DESARROLLO!$A:$A,0)))</f>
        <v>POR EL SUPATÁ SOÑADO AVANZAMOS JUNTOS EN LA LÍNEA ESTRATÉGICA AMBIENTAL</v>
      </c>
      <c r="F182" s="14" t="str">
        <f>IF($C182="","",INDEX([1]PLAN_DESARROLLO!$D:$D,MATCH($C182,[1]PLAN_DESARROLLO!$A:$A,0)))</f>
        <v>AMBIENTE</v>
      </c>
      <c r="G182" s="5" t="str">
        <f>IF($C182="","",INDEX([1]PLAN_DESARROLLO!$E:$E,MATCH($C182,[1]PLAN_DESARROLLO!$A:$A,0)))</f>
        <v>Realizar 4 campañas de prevención de la deforestació, el manejo forestal, seguimiento de reforestación y el aprovechamiento sostenible de los recursos naturales hídricos y forestales.</v>
      </c>
      <c r="H182" s="12">
        <v>1</v>
      </c>
      <c r="I182" s="12">
        <v>1</v>
      </c>
      <c r="J182" s="6">
        <f t="shared" si="8"/>
        <v>1</v>
      </c>
      <c r="K182" s="8">
        <v>1000000</v>
      </c>
      <c r="L182" s="8"/>
      <c r="M182" s="6" t="str">
        <f t="shared" si="9"/>
        <v/>
      </c>
      <c r="N182" s="23" t="s">
        <v>633</v>
      </c>
      <c r="O182" s="5" t="s">
        <v>496</v>
      </c>
      <c r="P182" s="5" t="s">
        <v>499</v>
      </c>
      <c r="Q182" s="5" t="s">
        <v>501</v>
      </c>
      <c r="R182" s="5"/>
      <c r="S182" s="5"/>
      <c r="T182" s="10">
        <v>46027</v>
      </c>
      <c r="U182" s="5"/>
    </row>
    <row r="183" spans="1:21" ht="270" x14ac:dyDescent="0.25">
      <c r="A183" s="5" t="s">
        <v>498</v>
      </c>
      <c r="B183" s="14" t="s">
        <v>487</v>
      </c>
      <c r="C183" s="5" t="s">
        <v>466</v>
      </c>
      <c r="D183" s="5" t="str">
        <f>IF($C183="","",INDEX([1]PLAN_DESARROLLO!$B:$B,MATCH($C183,[1]PLAN_DESARROLLO!$A:$A,0)))</f>
        <v>202500000009587</v>
      </c>
      <c r="E183" s="5" t="str">
        <f>IF($C183="","",INDEX([1]PLAN_DESARROLLO!$C:$C,MATCH($C183,[1]PLAN_DESARROLLO!$A:$A,0)))</f>
        <v>POR EL SUPATÁ SOÑADO AVANZAMOS JUNTOS EN LA LÍNEA ESTRATÉGICA AMBIENTAL</v>
      </c>
      <c r="F183" s="14" t="str">
        <f>IF($C183="","",INDEX([1]PLAN_DESARROLLO!$D:$D,MATCH($C183,[1]PLAN_DESARROLLO!$A:$A,0)))</f>
        <v>AMBIENTE</v>
      </c>
      <c r="G183" s="5" t="str">
        <f>IF($C183="","",INDEX([1]PLAN_DESARROLLO!$E:$E,MATCH($C183,[1]PLAN_DESARROLLO!$A:$A,0)))</f>
        <v>Realizar 4 campañas de prevención de la deforestació, el manejo forestal, seguimiento de reforestación y el aprovechamiento sostenible de los recursos naturales hídricos y forestales.</v>
      </c>
      <c r="H183" s="12">
        <v>1</v>
      </c>
      <c r="I183" s="12">
        <v>1</v>
      </c>
      <c r="J183" s="6">
        <f t="shared" si="8"/>
        <v>1</v>
      </c>
      <c r="K183" s="8">
        <v>1000000</v>
      </c>
      <c r="L183" s="8"/>
      <c r="M183" s="6" t="str">
        <f t="shared" si="9"/>
        <v/>
      </c>
      <c r="N183" s="5" t="s">
        <v>634</v>
      </c>
      <c r="O183" s="5" t="s">
        <v>496</v>
      </c>
      <c r="P183" s="5" t="s">
        <v>499</v>
      </c>
      <c r="Q183" s="5" t="s">
        <v>501</v>
      </c>
      <c r="R183" s="5"/>
      <c r="S183" s="5"/>
      <c r="T183" s="10">
        <v>46027</v>
      </c>
      <c r="U183" s="5"/>
    </row>
    <row r="184" spans="1:21" ht="45" x14ac:dyDescent="0.25">
      <c r="A184" s="5" t="s">
        <v>494</v>
      </c>
      <c r="B184" s="14" t="s">
        <v>487</v>
      </c>
      <c r="C184" s="5" t="s">
        <v>468</v>
      </c>
      <c r="D184" s="5" t="str">
        <f>IF($C184="","",INDEX([1]PLAN_DESARROLLO!$B:$B,MATCH($C184,[1]PLAN_DESARROLLO!$A:$A,0)))</f>
        <v>2024257770043</v>
      </c>
      <c r="E184" s="5" t="str">
        <f>IF($C184="","",INDEX([1]PLAN_DESARROLLO!$C:$C,MATCH($C184,[1]PLAN_DESARROLLO!$A:$A,0)))</f>
        <v>POR EL SUPATÁ SOÑADO AVANZAMOS JUNTOS EN LA LÍNEA ESTRATÉGICA AMBIENTAL</v>
      </c>
      <c r="F184" s="14" t="str">
        <f>IF($C184="","",INDEX([1]PLAN_DESARROLLO!$D:$D,MATCH($C184,[1]PLAN_DESARROLLO!$A:$A,0)))</f>
        <v>AMBIENTE</v>
      </c>
      <c r="G184" s="5" t="str">
        <f>IF($C184="","",INDEX([1]PLAN_DESARROLLO!$E:$E,MATCH($C184,[1]PLAN_DESARROLLO!$A:$A,0)))</f>
        <v>Adquirir (1) predio de importancia hídrica</v>
      </c>
      <c r="H184" s="12">
        <v>0</v>
      </c>
      <c r="I184" s="12"/>
      <c r="J184" s="6" t="str">
        <f t="shared" si="8"/>
        <v/>
      </c>
      <c r="K184" s="8">
        <v>27000000</v>
      </c>
      <c r="L184" s="8">
        <v>0</v>
      </c>
      <c r="M184" s="6">
        <f t="shared" si="9"/>
        <v>0</v>
      </c>
      <c r="N184" s="5"/>
      <c r="O184" s="5" t="s">
        <v>496</v>
      </c>
      <c r="P184" s="5"/>
      <c r="Q184" s="5"/>
      <c r="R184" s="5"/>
      <c r="S184" s="5"/>
      <c r="T184" s="10">
        <v>46027</v>
      </c>
      <c r="U184" s="5"/>
    </row>
    <row r="185" spans="1:21" ht="45" x14ac:dyDescent="0.25">
      <c r="A185" s="5" t="s">
        <v>498</v>
      </c>
      <c r="B185" s="14" t="s">
        <v>487</v>
      </c>
      <c r="C185" s="5" t="s">
        <v>468</v>
      </c>
      <c r="D185" s="5" t="str">
        <f>IF($C185="","",INDEX([1]PLAN_DESARROLLO!$B:$B,MATCH($C185,[1]PLAN_DESARROLLO!$A:$A,0)))</f>
        <v>2024257770043</v>
      </c>
      <c r="E185" s="5" t="str">
        <f>IF($C185="","",INDEX([1]PLAN_DESARROLLO!$C:$C,MATCH($C185,[1]PLAN_DESARROLLO!$A:$A,0)))</f>
        <v>POR EL SUPATÁ SOÑADO AVANZAMOS JUNTOS EN LA LÍNEA ESTRATÉGICA AMBIENTAL</v>
      </c>
      <c r="F185" s="14" t="str">
        <f>IF($C185="","",INDEX([1]PLAN_DESARROLLO!$D:$D,MATCH($C185,[1]PLAN_DESARROLLO!$A:$A,0)))</f>
        <v>AMBIENTE</v>
      </c>
      <c r="G185" s="5" t="str">
        <f>IF($C185="","",INDEX([1]PLAN_DESARROLLO!$E:$E,MATCH($C185,[1]PLAN_DESARROLLO!$A:$A,0)))</f>
        <v>Adquirir (1) predio de importancia hídrica</v>
      </c>
      <c r="H185" s="12">
        <v>0</v>
      </c>
      <c r="I185" s="12"/>
      <c r="J185" s="6" t="str">
        <f t="shared" si="8"/>
        <v/>
      </c>
      <c r="K185" s="8">
        <v>27000000</v>
      </c>
      <c r="L185" s="8">
        <v>0</v>
      </c>
      <c r="M185" s="6">
        <f t="shared" si="9"/>
        <v>0</v>
      </c>
      <c r="N185" s="5"/>
      <c r="O185" s="5" t="s">
        <v>496</v>
      </c>
      <c r="P185" s="5"/>
      <c r="Q185" s="5"/>
      <c r="R185" s="5"/>
      <c r="S185" s="5"/>
      <c r="T185" s="10">
        <v>46027</v>
      </c>
      <c r="U185" s="5"/>
    </row>
    <row r="186" spans="1:21" ht="45" x14ac:dyDescent="0.25">
      <c r="A186" s="5" t="s">
        <v>494</v>
      </c>
      <c r="B186" s="14" t="s">
        <v>487</v>
      </c>
      <c r="C186" s="5" t="s">
        <v>471</v>
      </c>
      <c r="D186" s="5" t="str">
        <f>IF($C186="","",INDEX([1]PLAN_DESARROLLO!$B:$B,MATCH($C186,[1]PLAN_DESARROLLO!$A:$A,0)))</f>
        <v>2024257770043</v>
      </c>
      <c r="E186" s="5" t="str">
        <f>IF($C186="","",INDEX([1]PLAN_DESARROLLO!$C:$C,MATCH($C186,[1]PLAN_DESARROLLO!$A:$A,0)))</f>
        <v>POR EL SUPATÁ SOÑADO AVANZAMOS JUNTOS EN LA LÍNEA ESTRATÉGICA AMBIENTAL</v>
      </c>
      <c r="F186" s="14" t="str">
        <f>IF($C186="","",INDEX([1]PLAN_DESARROLLO!$D:$D,MATCH($C186,[1]PLAN_DESARROLLO!$A:$A,0)))</f>
        <v>AMBIENTE</v>
      </c>
      <c r="G186" s="5" t="str">
        <f>IF($C186="","",INDEX([1]PLAN_DESARROLLO!$E:$E,MATCH($C186,[1]PLAN_DESARROLLO!$A:$A,0)))</f>
        <v>Adaptar un (1) espacio ecologico en las instituciones educativas para reducir las emisiones de GEI en el municipio.</v>
      </c>
      <c r="H186" s="12">
        <v>0</v>
      </c>
      <c r="I186" s="12">
        <v>0</v>
      </c>
      <c r="J186" s="6">
        <f t="shared" si="8"/>
        <v>0</v>
      </c>
      <c r="K186" s="8">
        <v>0</v>
      </c>
      <c r="L186" s="8"/>
      <c r="M186" s="6" t="str">
        <f t="shared" si="9"/>
        <v/>
      </c>
      <c r="N186" s="5"/>
      <c r="O186" s="5" t="s">
        <v>496</v>
      </c>
      <c r="P186" s="5"/>
      <c r="Q186" s="5"/>
      <c r="R186" s="5"/>
      <c r="S186" s="5"/>
      <c r="T186" s="10">
        <v>46027</v>
      </c>
      <c r="U186" s="5"/>
    </row>
    <row r="187" spans="1:21" ht="195" x14ac:dyDescent="0.25">
      <c r="A187" s="5" t="s">
        <v>498</v>
      </c>
      <c r="B187" s="14" t="s">
        <v>487</v>
      </c>
      <c r="C187" s="5" t="s">
        <v>471</v>
      </c>
      <c r="D187" s="5" t="str">
        <f>IF($C187="","",INDEX([1]PLAN_DESARROLLO!$B:$B,MATCH($C187,[1]PLAN_DESARROLLO!$A:$A,0)))</f>
        <v>2024257770043</v>
      </c>
      <c r="E187" s="5" t="str">
        <f>IF($C187="","",INDEX([1]PLAN_DESARROLLO!$C:$C,MATCH($C187,[1]PLAN_DESARROLLO!$A:$A,0)))</f>
        <v>POR EL SUPATÁ SOÑADO AVANZAMOS JUNTOS EN LA LÍNEA ESTRATÉGICA AMBIENTAL</v>
      </c>
      <c r="F187" s="14" t="str">
        <f>IF($C187="","",INDEX([1]PLAN_DESARROLLO!$D:$D,MATCH($C187,[1]PLAN_DESARROLLO!$A:$A,0)))</f>
        <v>AMBIENTE</v>
      </c>
      <c r="G187" s="5" t="str">
        <f>IF($C187="","",INDEX([1]PLAN_DESARROLLO!$E:$E,MATCH($C187,[1]PLAN_DESARROLLO!$A:$A,0)))</f>
        <v>Adaptar un (1) espacio ecologico en las instituciones educativas para reducir las emisiones de GEI en el municipio.</v>
      </c>
      <c r="H187" s="12">
        <v>1</v>
      </c>
      <c r="I187" s="12">
        <v>1</v>
      </c>
      <c r="J187" s="6">
        <f t="shared" si="8"/>
        <v>1</v>
      </c>
      <c r="K187" s="8">
        <v>0</v>
      </c>
      <c r="L187" s="8">
        <v>0</v>
      </c>
      <c r="M187" s="6">
        <f t="shared" si="9"/>
        <v>0</v>
      </c>
      <c r="N187" s="5" t="s">
        <v>635</v>
      </c>
      <c r="O187" s="5" t="s">
        <v>496</v>
      </c>
      <c r="P187" s="5" t="s">
        <v>502</v>
      </c>
      <c r="Q187" s="5" t="s">
        <v>501</v>
      </c>
      <c r="R187" s="5"/>
      <c r="S187" s="5"/>
      <c r="T187" s="10">
        <v>46027</v>
      </c>
      <c r="U187" s="5"/>
    </row>
    <row r="188" spans="1:21" ht="45" x14ac:dyDescent="0.25">
      <c r="A188" s="5" t="s">
        <v>494</v>
      </c>
      <c r="B188" s="14" t="s">
        <v>487</v>
      </c>
      <c r="C188" s="5" t="s">
        <v>473</v>
      </c>
      <c r="D188" s="5" t="str">
        <f>IF($C188="","",INDEX([1]PLAN_DESARROLLO!$B:$B,MATCH($C188,[1]PLAN_DESARROLLO!$A:$A,0)))</f>
        <v>2024257770043</v>
      </c>
      <c r="E188" s="5" t="str">
        <f>IF($C188="","",INDEX([1]PLAN_DESARROLLO!$C:$C,MATCH($C188,[1]PLAN_DESARROLLO!$A:$A,0)))</f>
        <v>POR EL SUPATÁ SOÑADO AVANZAMOS JUNTOS EN LA LÍNEA ESTRATÉGICA AMBIENTAL</v>
      </c>
      <c r="F188" s="14" t="str">
        <f>IF($C188="","",INDEX([1]PLAN_DESARROLLO!$D:$D,MATCH($C188,[1]PLAN_DESARROLLO!$A:$A,0)))</f>
        <v>AMBIENTE</v>
      </c>
      <c r="G188" s="5" t="str">
        <f>IF($C188="","",INDEX([1]PLAN_DESARROLLO!$E:$E,MATCH($C188,[1]PLAN_DESARROLLO!$A:$A,0)))</f>
        <v>Elaborar un (1) Plan de Uso Eficiente y Ahorro del Agua – PUEAA</v>
      </c>
      <c r="H188" s="12">
        <v>0</v>
      </c>
      <c r="I188" s="12">
        <v>0</v>
      </c>
      <c r="J188" s="6">
        <f t="shared" si="8"/>
        <v>0</v>
      </c>
      <c r="K188" s="8">
        <v>2500000</v>
      </c>
      <c r="L188" s="8">
        <v>0</v>
      </c>
      <c r="M188" s="6">
        <f t="shared" si="9"/>
        <v>0</v>
      </c>
      <c r="N188" s="5"/>
      <c r="O188" s="5" t="s">
        <v>496</v>
      </c>
      <c r="P188" s="5"/>
      <c r="Q188" s="5"/>
      <c r="R188" s="5"/>
      <c r="S188" s="5"/>
      <c r="T188" s="10">
        <v>46027</v>
      </c>
      <c r="U188" s="5"/>
    </row>
    <row r="189" spans="1:21" ht="60" x14ac:dyDescent="0.25">
      <c r="A189" s="5" t="s">
        <v>498</v>
      </c>
      <c r="B189" s="14" t="s">
        <v>487</v>
      </c>
      <c r="C189" s="5" t="s">
        <v>473</v>
      </c>
      <c r="D189" s="5" t="str">
        <f>IF($C189="","",INDEX([1]PLAN_DESARROLLO!$B:$B,MATCH($C189,[1]PLAN_DESARROLLO!$A:$A,0)))</f>
        <v>2024257770043</v>
      </c>
      <c r="E189" s="5" t="str">
        <f>IF($C189="","",INDEX([1]PLAN_DESARROLLO!$C:$C,MATCH($C189,[1]PLAN_DESARROLLO!$A:$A,0)))</f>
        <v>POR EL SUPATÁ SOÑADO AVANZAMOS JUNTOS EN LA LÍNEA ESTRATÉGICA AMBIENTAL</v>
      </c>
      <c r="F189" s="14" t="str">
        <f>IF($C189="","",INDEX([1]PLAN_DESARROLLO!$D:$D,MATCH($C189,[1]PLAN_DESARROLLO!$A:$A,0)))</f>
        <v>AMBIENTE</v>
      </c>
      <c r="G189" s="5" t="str">
        <f>IF($C189="","",INDEX([1]PLAN_DESARROLLO!$E:$E,MATCH($C189,[1]PLAN_DESARROLLO!$A:$A,0)))</f>
        <v>Elaborar un (1) Plan de Uso Eficiente y Ahorro del Agua – PUEAA</v>
      </c>
      <c r="H189" s="12">
        <v>1</v>
      </c>
      <c r="I189" s="12">
        <v>1</v>
      </c>
      <c r="J189" s="6">
        <f t="shared" si="8"/>
        <v>1</v>
      </c>
      <c r="K189" s="8">
        <v>2500000</v>
      </c>
      <c r="L189" s="8">
        <v>2500000</v>
      </c>
      <c r="M189" s="6">
        <f t="shared" si="9"/>
        <v>1</v>
      </c>
      <c r="N189" s="5" t="s">
        <v>636</v>
      </c>
      <c r="O189" s="5" t="s">
        <v>496</v>
      </c>
      <c r="P189" s="5" t="s">
        <v>502</v>
      </c>
      <c r="Q189" s="5" t="s">
        <v>504</v>
      </c>
      <c r="R189" s="5"/>
      <c r="S189" s="5"/>
      <c r="T189" s="10">
        <v>46027</v>
      </c>
      <c r="U189" s="5"/>
    </row>
    <row r="190" spans="1:21" ht="75" x14ac:dyDescent="0.25">
      <c r="A190" s="5" t="s">
        <v>494</v>
      </c>
      <c r="B190" s="14" t="s">
        <v>487</v>
      </c>
      <c r="C190" s="5" t="s">
        <v>475</v>
      </c>
      <c r="D190" s="5" t="str">
        <f>IF($C190="","",INDEX([1]PLAN_DESARROLLO!$B:$B,MATCH($C190,[1]PLAN_DESARROLLO!$A:$A,0)))</f>
        <v>202500000009063</v>
      </c>
      <c r="E190" s="5" t="str">
        <f>IF($C190="","",INDEX([1]PLAN_DESARROLLO!$C:$C,MATCH($C190,[1]PLAN_DESARROLLO!$A:$A,0)))</f>
        <v>POR EL SUPATÁ SOÑADO AVANZAMOS JUNTOS EN LA LÍNEA ESTRATÉGICA AMBIENTAL</v>
      </c>
      <c r="F190" s="14" t="str">
        <f>IF($C190="","",INDEX([1]PLAN_DESARROLLO!$D:$D,MATCH($C190,[1]PLAN_DESARROLLO!$A:$A,0)))</f>
        <v>AMBIENTE</v>
      </c>
      <c r="G190" s="5" t="str">
        <f>IF($C190="","",INDEX([1]PLAN_DESARROLLO!$E:$E,MATCH($C190,[1]PLAN_DESARROLLO!$A:$A,0)))</f>
        <v>apoyar la implementación anual de los proyectos ambientales escolares PRAES</v>
      </c>
      <c r="H190" s="12">
        <v>1</v>
      </c>
      <c r="I190" s="12">
        <v>1</v>
      </c>
      <c r="J190" s="6">
        <f t="shared" si="8"/>
        <v>1</v>
      </c>
      <c r="K190" s="8">
        <v>4000000</v>
      </c>
      <c r="L190" s="8">
        <v>4000000</v>
      </c>
      <c r="M190" s="6">
        <f t="shared" si="9"/>
        <v>1</v>
      </c>
      <c r="N190" s="5" t="s">
        <v>637</v>
      </c>
      <c r="O190" s="5" t="s">
        <v>496</v>
      </c>
      <c r="P190" s="5" t="s">
        <v>499</v>
      </c>
      <c r="Q190" s="5" t="s">
        <v>501</v>
      </c>
      <c r="R190" s="5"/>
      <c r="S190" s="5"/>
      <c r="T190" s="10">
        <v>46027</v>
      </c>
      <c r="U190" s="5"/>
    </row>
    <row r="191" spans="1:21" ht="135" x14ac:dyDescent="0.25">
      <c r="A191" s="5" t="s">
        <v>498</v>
      </c>
      <c r="B191" s="14" t="s">
        <v>487</v>
      </c>
      <c r="C191" s="5" t="s">
        <v>475</v>
      </c>
      <c r="D191" s="5" t="str">
        <f>IF($C191="","",INDEX([1]PLAN_DESARROLLO!$B:$B,MATCH($C191,[1]PLAN_DESARROLLO!$A:$A,0)))</f>
        <v>202500000009063</v>
      </c>
      <c r="E191" s="5" t="str">
        <f>IF($C191="","",INDEX([1]PLAN_DESARROLLO!$C:$C,MATCH($C191,[1]PLAN_DESARROLLO!$A:$A,0)))</f>
        <v>POR EL SUPATÁ SOÑADO AVANZAMOS JUNTOS EN LA LÍNEA ESTRATÉGICA AMBIENTAL</v>
      </c>
      <c r="F191" s="14" t="str">
        <f>IF($C191="","",INDEX([1]PLAN_DESARROLLO!$D:$D,MATCH($C191,[1]PLAN_DESARROLLO!$A:$A,0)))</f>
        <v>AMBIENTE</v>
      </c>
      <c r="G191" s="5" t="str">
        <f>IF($C191="","",INDEX([1]PLAN_DESARROLLO!$E:$E,MATCH($C191,[1]PLAN_DESARROLLO!$A:$A,0)))</f>
        <v>apoyar la implementación anual de los proyectos ambientales escolares PRAES</v>
      </c>
      <c r="H191" s="12">
        <v>1</v>
      </c>
      <c r="I191" s="12">
        <v>1</v>
      </c>
      <c r="J191" s="6">
        <f t="shared" si="8"/>
        <v>1</v>
      </c>
      <c r="K191" s="8">
        <v>4000000</v>
      </c>
      <c r="L191" s="8">
        <v>4000000</v>
      </c>
      <c r="M191" s="6">
        <f t="shared" si="9"/>
        <v>1</v>
      </c>
      <c r="N191" s="5" t="s">
        <v>638</v>
      </c>
      <c r="O191" s="5" t="s">
        <v>496</v>
      </c>
      <c r="P191" s="5" t="s">
        <v>499</v>
      </c>
      <c r="Q191" s="5" t="s">
        <v>501</v>
      </c>
      <c r="R191" s="5"/>
      <c r="S191" s="5"/>
      <c r="T191" s="10">
        <v>46027</v>
      </c>
      <c r="U191" s="5"/>
    </row>
    <row r="192" spans="1:21" ht="45" x14ac:dyDescent="0.25">
      <c r="A192" s="24" t="s">
        <v>494</v>
      </c>
      <c r="B192" s="24" t="s">
        <v>485</v>
      </c>
      <c r="C192" s="24" t="s">
        <v>17</v>
      </c>
      <c r="D192" s="24" t="str">
        <f>IF($C192="","",INDEX([2]PLAN_DESARROLLO!$B:$B,MATCH($C192,[2]PLAN_DESARROLLO!$A:$A,0)))</f>
        <v>2024257770003</v>
      </c>
      <c r="E192" s="24" t="str">
        <f>IF($C192="","",INDEX([2]PLAN_DESARROLLO!$C:$C,MATCH($C192,[2]PLAN_DESARROLLO!$A:$A,0)))</f>
        <v>POR EL SUPATÁ SOÑADO AVANZAMOS JUNTOS EN LA LÍNEA ESTRATÉGICA SOCIAL</v>
      </c>
      <c r="F192" s="24" t="str">
        <f>IF($C192="","",INDEX([2]PLAN_DESARROLLO!$D:$D,MATCH($C192,[2]PLAN_DESARROLLO!$A:$A,0)))</f>
        <v>EDUCACION</v>
      </c>
      <c r="G192" s="24" t="str">
        <f>IF($C192="","",INDEX([2]PLAN_DESARROLLO!$E:$E,MATCH($C192,[2]PLAN_DESARROLLO!$A:$A,0)))</f>
        <v xml:space="preserve">Garantizar el 100% de transporte escolar de estudiantes que su institución educativa más cercana supere los 3 kilómetros de distancia desde la vivienda. </v>
      </c>
      <c r="H192" s="25">
        <v>4</v>
      </c>
      <c r="I192" s="25">
        <v>1</v>
      </c>
      <c r="J192" s="26">
        <f t="shared" si="8"/>
        <v>0.25</v>
      </c>
      <c r="K192" s="27">
        <v>465641566</v>
      </c>
      <c r="L192" s="27">
        <v>465641566</v>
      </c>
      <c r="M192" s="26">
        <f t="shared" si="9"/>
        <v>1</v>
      </c>
      <c r="N192" s="24" t="s">
        <v>639</v>
      </c>
      <c r="O192" s="24"/>
      <c r="P192" s="24" t="s">
        <v>502</v>
      </c>
      <c r="Q192" s="24" t="s">
        <v>510</v>
      </c>
      <c r="R192" s="24"/>
      <c r="S192" s="24"/>
      <c r="T192" s="28">
        <f t="shared" ref="T192:T255" ca="1" si="10">IF($A192="","",TODAY())</f>
        <v>46059</v>
      </c>
      <c r="U192" s="24"/>
    </row>
    <row r="193" spans="1:21" ht="45" x14ac:dyDescent="0.25">
      <c r="A193" s="24" t="s">
        <v>498</v>
      </c>
      <c r="B193" s="24" t="s">
        <v>485</v>
      </c>
      <c r="C193" s="24" t="s">
        <v>17</v>
      </c>
      <c r="D193" s="24" t="str">
        <f>IF($C193="","",INDEX([2]PLAN_DESARROLLO!$B:$B,MATCH($C193,[2]PLAN_DESARROLLO!$A:$A,0)))</f>
        <v>2024257770003</v>
      </c>
      <c r="E193" s="24" t="str">
        <f>IF($C193="","",INDEX([2]PLAN_DESARROLLO!$C:$C,MATCH($C193,[2]PLAN_DESARROLLO!$A:$A,0)))</f>
        <v>POR EL SUPATÁ SOÑADO AVANZAMOS JUNTOS EN LA LÍNEA ESTRATÉGICA SOCIAL</v>
      </c>
      <c r="F193" s="24" t="str">
        <f>IF($C193="","",INDEX([2]PLAN_DESARROLLO!$D:$D,MATCH($C193,[2]PLAN_DESARROLLO!$A:$A,0)))</f>
        <v>EDUCACION</v>
      </c>
      <c r="G193" s="24" t="str">
        <f>IF($C193="","",INDEX([2]PLAN_DESARROLLO!$E:$E,MATCH($C193,[2]PLAN_DESARROLLO!$A:$A,0)))</f>
        <v xml:space="preserve">Garantizar el 100% de transporte escolar de estudiantes que su institución educativa más cercana supere los 3 kilómetros de distancia desde la vivienda. </v>
      </c>
      <c r="H193" s="25">
        <v>4</v>
      </c>
      <c r="I193" s="25">
        <v>1</v>
      </c>
      <c r="J193" s="26">
        <f t="shared" si="8"/>
        <v>0.25</v>
      </c>
      <c r="K193" s="27">
        <v>655815840</v>
      </c>
      <c r="L193" s="27">
        <v>655815840</v>
      </c>
      <c r="M193" s="26">
        <f t="shared" si="9"/>
        <v>1</v>
      </c>
      <c r="N193" s="24" t="s">
        <v>639</v>
      </c>
      <c r="O193" s="24"/>
      <c r="P193" s="24" t="s">
        <v>502</v>
      </c>
      <c r="Q193" s="24" t="s">
        <v>510</v>
      </c>
      <c r="R193" s="24"/>
      <c r="S193" s="24"/>
      <c r="T193" s="28">
        <f t="shared" ca="1" si="10"/>
        <v>46059</v>
      </c>
      <c r="U193" s="24"/>
    </row>
    <row r="194" spans="1:21" ht="30" x14ac:dyDescent="0.25">
      <c r="A194" s="24" t="s">
        <v>494</v>
      </c>
      <c r="B194" s="24" t="s">
        <v>485</v>
      </c>
      <c r="C194" s="24" t="s">
        <v>22</v>
      </c>
      <c r="D194" s="24" t="str">
        <f>IF($C194="","",INDEX([2]PLAN_DESARROLLO!$B:$B,MATCH($C194,[2]PLAN_DESARROLLO!$A:$A,0)))</f>
        <v>2024257770003</v>
      </c>
      <c r="E194" s="24" t="str">
        <f>IF($C194="","",INDEX([2]PLAN_DESARROLLO!$C:$C,MATCH($C194,[2]PLAN_DESARROLLO!$A:$A,0)))</f>
        <v>POR EL SUPATÁ SOÑADO AVANZAMOS JUNTOS EN LA LÍNEA ESTRATÉGICA SOCIAL</v>
      </c>
      <c r="F194" s="24" t="str">
        <f>IF($C194="","",INDEX([2]PLAN_DESARROLLO!$D:$D,MATCH($C194,[2]PLAN_DESARROLLO!$A:$A,0)))</f>
        <v>EDUCACION</v>
      </c>
      <c r="G194" s="24" t="str">
        <f>IF($C194="","",INDEX([2]PLAN_DESARROLLO!$E:$E,MATCH($C194,[2]PLAN_DESARROLLO!$A:$A,0)))</f>
        <v>Garantizar la gratuidad en la educación en el 100% de las Instituciones y sedes Educativas del municipio.</v>
      </c>
      <c r="H194" s="25">
        <v>4</v>
      </c>
      <c r="I194" s="25">
        <v>1</v>
      </c>
      <c r="J194" s="26">
        <f t="shared" si="8"/>
        <v>0.25</v>
      </c>
      <c r="K194" s="27">
        <v>0</v>
      </c>
      <c r="L194" s="27">
        <v>0</v>
      </c>
      <c r="M194" s="26">
        <f t="shared" si="9"/>
        <v>0</v>
      </c>
      <c r="N194" s="24"/>
      <c r="O194" s="24"/>
      <c r="P194" s="24"/>
      <c r="Q194" s="24"/>
      <c r="R194" s="24"/>
      <c r="S194" s="24"/>
      <c r="T194" s="28">
        <f t="shared" ca="1" si="10"/>
        <v>46059</v>
      </c>
      <c r="U194" s="24"/>
    </row>
    <row r="195" spans="1:21" ht="30" x14ac:dyDescent="0.25">
      <c r="A195" s="24" t="s">
        <v>498</v>
      </c>
      <c r="B195" s="24" t="s">
        <v>485</v>
      </c>
      <c r="C195" s="24" t="s">
        <v>22</v>
      </c>
      <c r="D195" s="24" t="str">
        <f>IF($C195="","",INDEX([2]PLAN_DESARROLLO!$B:$B,MATCH($C195,[2]PLAN_DESARROLLO!$A:$A,0)))</f>
        <v>2024257770003</v>
      </c>
      <c r="E195" s="24" t="str">
        <f>IF($C195="","",INDEX([2]PLAN_DESARROLLO!$C:$C,MATCH($C195,[2]PLAN_DESARROLLO!$A:$A,0)))</f>
        <v>POR EL SUPATÁ SOÑADO AVANZAMOS JUNTOS EN LA LÍNEA ESTRATÉGICA SOCIAL</v>
      </c>
      <c r="F195" s="24" t="str">
        <f>IF($C195="","",INDEX([2]PLAN_DESARROLLO!$D:$D,MATCH($C195,[2]PLAN_DESARROLLO!$A:$A,0)))</f>
        <v>EDUCACION</v>
      </c>
      <c r="G195" s="24" t="str">
        <f>IF($C195="","",INDEX([2]PLAN_DESARROLLO!$E:$E,MATCH($C195,[2]PLAN_DESARROLLO!$A:$A,0)))</f>
        <v>Garantizar la gratuidad en la educación en el 100% de las Instituciones y sedes Educativas del municipio.</v>
      </c>
      <c r="H195" s="25">
        <v>4</v>
      </c>
      <c r="I195" s="25">
        <v>1</v>
      </c>
      <c r="J195" s="26">
        <f t="shared" si="8"/>
        <v>0.25</v>
      </c>
      <c r="K195" s="27">
        <v>0</v>
      </c>
      <c r="L195" s="27">
        <v>0</v>
      </c>
      <c r="M195" s="26">
        <f t="shared" si="9"/>
        <v>0</v>
      </c>
      <c r="N195" s="24"/>
      <c r="O195" s="24"/>
      <c r="P195" s="24"/>
      <c r="Q195" s="24"/>
      <c r="R195" s="24"/>
      <c r="S195" s="24"/>
      <c r="T195" s="28">
        <f t="shared" ca="1" si="10"/>
        <v>46059</v>
      </c>
      <c r="U195" s="24"/>
    </row>
    <row r="196" spans="1:21" ht="30" x14ac:dyDescent="0.25">
      <c r="A196" s="24" t="s">
        <v>494</v>
      </c>
      <c r="B196" s="24" t="s">
        <v>485</v>
      </c>
      <c r="C196" s="24" t="s">
        <v>24</v>
      </c>
      <c r="D196" s="24" t="str">
        <f>IF($C196="","",INDEX([2]PLAN_DESARROLLO!$B:$B,MATCH($C196,[2]PLAN_DESARROLLO!$A:$A,0)))</f>
        <v>2024257770003</v>
      </c>
      <c r="E196" s="24" t="str">
        <f>IF($C196="","",INDEX([2]PLAN_DESARROLLO!$C:$C,MATCH($C196,[2]PLAN_DESARROLLO!$A:$A,0)))</f>
        <v>POR EL SUPATÁ SOÑADO AVANZAMOS JUNTOS EN LA LÍNEA ESTRATÉGICA SOCIAL</v>
      </c>
      <c r="F196" s="24" t="str">
        <f>IF($C196="","",INDEX([2]PLAN_DESARROLLO!$D:$D,MATCH($C196,[2]PLAN_DESARROLLO!$A:$A,0)))</f>
        <v>EDUCACION</v>
      </c>
      <c r="G196" s="24" t="str">
        <f>IF($C196="","",INDEX([2]PLAN_DESARROLLO!$E:$E,MATCH($C196,[2]PLAN_DESARROLLO!$A:$A,0)))</f>
        <v>Mantener la cobertura al 100% y fortalecer el servicio de los estudiantes con el servicio de alimentación escolar</v>
      </c>
      <c r="H196" s="25">
        <v>4</v>
      </c>
      <c r="I196" s="25">
        <v>1</v>
      </c>
      <c r="J196" s="26">
        <f t="shared" si="8"/>
        <v>0.25</v>
      </c>
      <c r="K196" s="27">
        <v>12855641</v>
      </c>
      <c r="L196" s="27">
        <v>12855641</v>
      </c>
      <c r="M196" s="26">
        <f t="shared" si="9"/>
        <v>1</v>
      </c>
      <c r="N196" s="24" t="s">
        <v>640</v>
      </c>
      <c r="O196" s="24"/>
      <c r="P196" s="24" t="s">
        <v>502</v>
      </c>
      <c r="Q196" s="24" t="s">
        <v>510</v>
      </c>
      <c r="R196" s="24"/>
      <c r="S196" s="24"/>
      <c r="T196" s="28">
        <f t="shared" ca="1" si="10"/>
        <v>46059</v>
      </c>
      <c r="U196" s="24"/>
    </row>
    <row r="197" spans="1:21" ht="30" x14ac:dyDescent="0.25">
      <c r="A197" s="24" t="s">
        <v>498</v>
      </c>
      <c r="B197" s="24" t="s">
        <v>485</v>
      </c>
      <c r="C197" s="24" t="s">
        <v>24</v>
      </c>
      <c r="D197" s="24" t="str">
        <f>IF($C197="","",INDEX([2]PLAN_DESARROLLO!$B:$B,MATCH($C197,[2]PLAN_DESARROLLO!$A:$A,0)))</f>
        <v>2024257770003</v>
      </c>
      <c r="E197" s="24" t="str">
        <f>IF($C197="","",INDEX([2]PLAN_DESARROLLO!$C:$C,MATCH($C197,[2]PLAN_DESARROLLO!$A:$A,0)))</f>
        <v>POR EL SUPATÁ SOÑADO AVANZAMOS JUNTOS EN LA LÍNEA ESTRATÉGICA SOCIAL</v>
      </c>
      <c r="F197" s="24" t="str">
        <f>IF($C197="","",INDEX([2]PLAN_DESARROLLO!$D:$D,MATCH($C197,[2]PLAN_DESARROLLO!$A:$A,0)))</f>
        <v>EDUCACION</v>
      </c>
      <c r="G197" s="24" t="str">
        <f>IF($C197="","",INDEX([2]PLAN_DESARROLLO!$E:$E,MATCH($C197,[2]PLAN_DESARROLLO!$A:$A,0)))</f>
        <v>Mantener la cobertura al 100% y fortalecer el servicio de los estudiantes con el servicio de alimentación escolar</v>
      </c>
      <c r="H197" s="25">
        <v>4</v>
      </c>
      <c r="I197" s="25">
        <v>1</v>
      </c>
      <c r="J197" s="26">
        <f t="shared" si="8"/>
        <v>0.25</v>
      </c>
      <c r="K197" s="27">
        <v>17419422</v>
      </c>
      <c r="L197" s="27">
        <v>17419422</v>
      </c>
      <c r="M197" s="26">
        <f t="shared" si="9"/>
        <v>1</v>
      </c>
      <c r="N197" s="24" t="s">
        <v>640</v>
      </c>
      <c r="O197" s="24"/>
      <c r="P197" s="24" t="s">
        <v>502</v>
      </c>
      <c r="Q197" s="24" t="s">
        <v>510</v>
      </c>
      <c r="R197" s="24"/>
      <c r="S197" s="24"/>
      <c r="T197" s="28">
        <f t="shared" ca="1" si="10"/>
        <v>46059</v>
      </c>
      <c r="U197" s="24"/>
    </row>
    <row r="198" spans="1:21" ht="30" x14ac:dyDescent="0.25">
      <c r="A198" s="24" t="s">
        <v>494</v>
      </c>
      <c r="B198" s="24" t="s">
        <v>485</v>
      </c>
      <c r="C198" s="24" t="s">
        <v>26</v>
      </c>
      <c r="D198" s="24" t="str">
        <f>IF($C198="","",INDEX([2]PLAN_DESARROLLO!$B:$B,MATCH($C198,[2]PLAN_DESARROLLO!$A:$A,0)))</f>
        <v>2024257770003</v>
      </c>
      <c r="E198" s="24" t="str">
        <f>IF($C198="","",INDEX([2]PLAN_DESARROLLO!$C:$C,MATCH($C198,[2]PLAN_DESARROLLO!$A:$A,0)))</f>
        <v>POR EL SUPATÁ SOÑADO AVANZAMOS JUNTOS EN LA LÍNEA ESTRATÉGICA SOCIAL</v>
      </c>
      <c r="F198" s="24" t="str">
        <f>IF($C198="","",INDEX([2]PLAN_DESARROLLO!$D:$D,MATCH($C198,[2]PLAN_DESARROLLO!$A:$A,0)))</f>
        <v>EDUCACION</v>
      </c>
      <c r="G198" s="24" t="str">
        <f>IF($C198="","",INDEX([2]PLAN_DESARROLLO!$E:$E,MATCH($C198,[2]PLAN_DESARROLLO!$A:$A,0)))</f>
        <v xml:space="preserve">Fortalecer una estrategia extra curricular en fomento del idioma ingles </v>
      </c>
      <c r="H198" s="25">
        <v>4</v>
      </c>
      <c r="I198" s="25">
        <v>0</v>
      </c>
      <c r="J198" s="26">
        <f t="shared" ref="J198:J261" si="11">IF(OR($H198="",$I198=""),"",IFERROR($I198/$H198,0))</f>
        <v>0</v>
      </c>
      <c r="K198" s="27">
        <v>0</v>
      </c>
      <c r="L198" s="27">
        <v>0</v>
      </c>
      <c r="M198" s="26">
        <f t="shared" ref="M198:M261" si="12">IF(OR($K198="",$L198=""),"",IFERROR($L198/$K198,0))</f>
        <v>0</v>
      </c>
      <c r="N198" s="24"/>
      <c r="O198" s="24"/>
      <c r="P198" s="24"/>
      <c r="Q198" s="24"/>
      <c r="R198" s="24"/>
      <c r="S198" s="24"/>
      <c r="T198" s="28">
        <f t="shared" ca="1" si="10"/>
        <v>46059</v>
      </c>
      <c r="U198" s="24"/>
    </row>
    <row r="199" spans="1:21" ht="30" x14ac:dyDescent="0.25">
      <c r="A199" s="24" t="s">
        <v>498</v>
      </c>
      <c r="B199" s="24" t="s">
        <v>485</v>
      </c>
      <c r="C199" s="24" t="s">
        <v>26</v>
      </c>
      <c r="D199" s="24" t="str">
        <f>IF($C199="","",INDEX([2]PLAN_DESARROLLO!$B:$B,MATCH($C199,[2]PLAN_DESARROLLO!$A:$A,0)))</f>
        <v>2024257770003</v>
      </c>
      <c r="E199" s="24" t="str">
        <f>IF($C199="","",INDEX([2]PLAN_DESARROLLO!$C:$C,MATCH($C199,[2]PLAN_DESARROLLO!$A:$A,0)))</f>
        <v>POR EL SUPATÁ SOÑADO AVANZAMOS JUNTOS EN LA LÍNEA ESTRATÉGICA SOCIAL</v>
      </c>
      <c r="F199" s="24" t="str">
        <f>IF($C199="","",INDEX([2]PLAN_DESARROLLO!$D:$D,MATCH($C199,[2]PLAN_DESARROLLO!$A:$A,0)))</f>
        <v>EDUCACION</v>
      </c>
      <c r="G199" s="24" t="str">
        <f>IF($C199="","",INDEX([2]PLAN_DESARROLLO!$E:$E,MATCH($C199,[2]PLAN_DESARROLLO!$A:$A,0)))</f>
        <v xml:space="preserve">Fortalecer una estrategia extra curricular en fomento del idioma ingles </v>
      </c>
      <c r="H199" s="25">
        <v>4</v>
      </c>
      <c r="I199" s="25">
        <v>0</v>
      </c>
      <c r="J199" s="26">
        <f t="shared" si="11"/>
        <v>0</v>
      </c>
      <c r="K199" s="27">
        <v>0</v>
      </c>
      <c r="L199" s="27">
        <v>0</v>
      </c>
      <c r="M199" s="26">
        <f t="shared" si="12"/>
        <v>0</v>
      </c>
      <c r="N199" s="24"/>
      <c r="O199" s="24"/>
      <c r="P199" s="24"/>
      <c r="Q199" s="24"/>
      <c r="R199" s="24"/>
      <c r="S199" s="24"/>
      <c r="T199" s="28">
        <f t="shared" ca="1" si="10"/>
        <v>46059</v>
      </c>
      <c r="U199" s="24"/>
    </row>
    <row r="200" spans="1:21" ht="90" x14ac:dyDescent="0.25">
      <c r="A200" s="24" t="s">
        <v>494</v>
      </c>
      <c r="B200" s="24" t="s">
        <v>485</v>
      </c>
      <c r="C200" s="24" t="s">
        <v>28</v>
      </c>
      <c r="D200" s="24" t="str">
        <f>IF($C200="","",INDEX([2]PLAN_DESARROLLO!$B:$B,MATCH($C200,[2]PLAN_DESARROLLO!$A:$A,0)))</f>
        <v>2024257770004</v>
      </c>
      <c r="E200" s="24" t="str">
        <f>IF($C200="","",INDEX([2]PLAN_DESARROLLO!$C:$C,MATCH($C200,[2]PLAN_DESARROLLO!$A:$A,0)))</f>
        <v>POR EL SUPATÁ SOÑADO AVANZAMOS JUNTOS EN LA LÍNEA ESTRATÉGICA SOCIAL</v>
      </c>
      <c r="F200" s="24" t="str">
        <f>IF($C200="","",INDEX([2]PLAN_DESARROLLO!$D:$D,MATCH($C200,[2]PLAN_DESARROLLO!$A:$A,0)))</f>
        <v>EDUCACION</v>
      </c>
      <c r="G200" s="24" t="str">
        <f>IF($C200="","",INDEX([2]PLAN_DESARROLLO!$E:$E,MATCH($C200,[2]PLAN_DESARROLLO!$A:$A,0)))</f>
        <v>Realizar 1 dotación de menaje en restaurante escolar de las diferentes sedes de las instituciones Nuestra Señora de la Salud  y el Imparal.)</v>
      </c>
      <c r="H200" s="25">
        <v>2</v>
      </c>
      <c r="I200" s="25">
        <v>1</v>
      </c>
      <c r="J200" s="26">
        <f t="shared" si="11"/>
        <v>0.5</v>
      </c>
      <c r="K200" s="27">
        <v>29348783</v>
      </c>
      <c r="L200" s="27">
        <v>29348783</v>
      </c>
      <c r="M200" s="26">
        <f t="shared" si="12"/>
        <v>1</v>
      </c>
      <c r="N200" s="24" t="s">
        <v>641</v>
      </c>
      <c r="O200" s="24"/>
      <c r="P200" s="24" t="s">
        <v>502</v>
      </c>
      <c r="Q200" s="24" t="s">
        <v>506</v>
      </c>
      <c r="R200" s="24"/>
      <c r="S200" s="24"/>
      <c r="T200" s="28">
        <f t="shared" ca="1" si="10"/>
        <v>46059</v>
      </c>
      <c r="U200" s="24"/>
    </row>
    <row r="201" spans="1:21" ht="30" x14ac:dyDescent="0.25">
      <c r="A201" s="24" t="s">
        <v>498</v>
      </c>
      <c r="B201" s="24" t="s">
        <v>485</v>
      </c>
      <c r="C201" s="24" t="s">
        <v>28</v>
      </c>
      <c r="D201" s="24" t="str">
        <f>IF($C201="","",INDEX([2]PLAN_DESARROLLO!$B:$B,MATCH($C201,[2]PLAN_DESARROLLO!$A:$A,0)))</f>
        <v>2024257770004</v>
      </c>
      <c r="E201" s="24" t="str">
        <f>IF($C201="","",INDEX([2]PLAN_DESARROLLO!$C:$C,MATCH($C201,[2]PLAN_DESARROLLO!$A:$A,0)))</f>
        <v>POR EL SUPATÁ SOÑADO AVANZAMOS JUNTOS EN LA LÍNEA ESTRATÉGICA SOCIAL</v>
      </c>
      <c r="F201" s="24" t="str">
        <f>IF($C201="","",INDEX([2]PLAN_DESARROLLO!$D:$D,MATCH($C201,[2]PLAN_DESARROLLO!$A:$A,0)))</f>
        <v>EDUCACION</v>
      </c>
      <c r="G201" s="24" t="str">
        <f>IF($C201="","",INDEX([2]PLAN_DESARROLLO!$E:$E,MATCH($C201,[2]PLAN_DESARROLLO!$A:$A,0)))</f>
        <v>Realizar 1 dotación de menaje en restaurante escolar de las diferentes sedes de las instituciones Nuestra Señora de la Salud  y el Imparal.)</v>
      </c>
      <c r="H201" s="25">
        <v>2</v>
      </c>
      <c r="I201" s="25">
        <v>0</v>
      </c>
      <c r="J201" s="26">
        <f t="shared" si="11"/>
        <v>0</v>
      </c>
      <c r="K201" s="27">
        <v>0</v>
      </c>
      <c r="L201" s="27">
        <v>0</v>
      </c>
      <c r="M201" s="26">
        <f t="shared" si="12"/>
        <v>0</v>
      </c>
      <c r="N201" s="24"/>
      <c r="O201" s="24"/>
      <c r="P201" s="24"/>
      <c r="Q201" s="24"/>
      <c r="R201" s="24"/>
      <c r="S201" s="24"/>
      <c r="T201" s="28">
        <f t="shared" ca="1" si="10"/>
        <v>46059</v>
      </c>
      <c r="U201" s="24"/>
    </row>
    <row r="202" spans="1:21" ht="30" x14ac:dyDescent="0.25">
      <c r="A202" s="29" t="s">
        <v>494</v>
      </c>
      <c r="B202" s="29" t="s">
        <v>485</v>
      </c>
      <c r="C202" s="29" t="s">
        <v>31</v>
      </c>
      <c r="D202" s="29" t="str">
        <f>IF($C202="","",INDEX([2]PLAN_DESARROLLO!$B:$B,MATCH($C202,[2]PLAN_DESARROLLO!$A:$A,0)))</f>
        <v>2024257770004</v>
      </c>
      <c r="E202" s="29" t="str">
        <f>IF($C202="","",INDEX([2]PLAN_DESARROLLO!$C:$C,MATCH($C202,[2]PLAN_DESARROLLO!$A:$A,0)))</f>
        <v>POR EL SUPATÁ SOÑADO AVANZAMOS JUNTOS EN LA LÍNEA ESTRATÉGICA SOCIAL</v>
      </c>
      <c r="F202" s="29" t="str">
        <f>IF($C202="","",INDEX([2]PLAN_DESARROLLO!$D:$D,MATCH($C202,[2]PLAN_DESARROLLO!$A:$A,0)))</f>
        <v>EDUCACION</v>
      </c>
      <c r="G202" s="29" t="str">
        <f>IF($C202="","",INDEX([2]PLAN_DESARROLLO!$E:$E,MATCH($C202,[2]PLAN_DESARROLLO!$A:$A,0)))</f>
        <v xml:space="preserve">Mejoramiento y/o mantenimiento en infraestructura de las instituciones educativas y sus sedes. </v>
      </c>
      <c r="H202" s="30"/>
      <c r="I202" s="30"/>
      <c r="J202" s="31" t="str">
        <f t="shared" si="11"/>
        <v/>
      </c>
      <c r="K202" s="32"/>
      <c r="L202" s="32"/>
      <c r="M202" s="31" t="str">
        <f t="shared" si="12"/>
        <v/>
      </c>
      <c r="N202" s="29"/>
      <c r="O202" s="29"/>
      <c r="P202" s="29"/>
      <c r="Q202" s="29"/>
      <c r="R202" s="29"/>
      <c r="S202" s="29"/>
      <c r="T202" s="33">
        <f t="shared" ca="1" si="10"/>
        <v>46059</v>
      </c>
      <c r="U202" s="29"/>
    </row>
    <row r="203" spans="1:21" ht="30" x14ac:dyDescent="0.25">
      <c r="A203" s="29" t="s">
        <v>498</v>
      </c>
      <c r="B203" s="29" t="s">
        <v>485</v>
      </c>
      <c r="C203" s="29" t="s">
        <v>31</v>
      </c>
      <c r="D203" s="29" t="str">
        <f>IF($C203="","",INDEX([2]PLAN_DESARROLLO!$B:$B,MATCH($C203,[2]PLAN_DESARROLLO!$A:$A,0)))</f>
        <v>2024257770004</v>
      </c>
      <c r="E203" s="29" t="str">
        <f>IF($C203="","",INDEX([2]PLAN_DESARROLLO!$C:$C,MATCH($C203,[2]PLAN_DESARROLLO!$A:$A,0)))</f>
        <v>POR EL SUPATÁ SOÑADO AVANZAMOS JUNTOS EN LA LÍNEA ESTRATÉGICA SOCIAL</v>
      </c>
      <c r="F203" s="29" t="str">
        <f>IF($C203="","",INDEX([2]PLAN_DESARROLLO!$D:$D,MATCH($C203,[2]PLAN_DESARROLLO!$A:$A,0)))</f>
        <v>EDUCACION</v>
      </c>
      <c r="G203" s="29" t="str">
        <f>IF($C203="","",INDEX([2]PLAN_DESARROLLO!$E:$E,MATCH($C203,[2]PLAN_DESARROLLO!$A:$A,0)))</f>
        <v xml:space="preserve">Mejoramiento y/o mantenimiento en infraestructura de las instituciones educativas y sus sedes. </v>
      </c>
      <c r="H203" s="30"/>
      <c r="I203" s="30"/>
      <c r="J203" s="31" t="str">
        <f t="shared" si="11"/>
        <v/>
      </c>
      <c r="K203" s="32"/>
      <c r="L203" s="32"/>
      <c r="M203" s="31" t="str">
        <f t="shared" si="12"/>
        <v/>
      </c>
      <c r="N203" s="29"/>
      <c r="O203" s="29"/>
      <c r="P203" s="29"/>
      <c r="Q203" s="29"/>
      <c r="R203" s="29"/>
      <c r="S203" s="29"/>
      <c r="T203" s="33">
        <f t="shared" ca="1" si="10"/>
        <v>46059</v>
      </c>
      <c r="U203" s="29"/>
    </row>
    <row r="204" spans="1:21" ht="45" x14ac:dyDescent="0.25">
      <c r="A204" s="24" t="s">
        <v>494</v>
      </c>
      <c r="B204" s="24" t="s">
        <v>485</v>
      </c>
      <c r="C204" s="24" t="s">
        <v>33</v>
      </c>
      <c r="D204" s="24" t="str">
        <f>IF($C204="","",INDEX([2]PLAN_DESARROLLO!$B:$B,MATCH($C204,[2]PLAN_DESARROLLO!$A:$A,0)))</f>
        <v>2024257770005</v>
      </c>
      <c r="E204" s="24" t="str">
        <f>IF($C204="","",INDEX([2]PLAN_DESARROLLO!$C:$C,MATCH($C204,[2]PLAN_DESARROLLO!$A:$A,0)))</f>
        <v>POR EL SUPATÁ SOÑADO AVANZAMOS JUNTOS EN LA LÍNEA ESTRATÉGICA SOCIAL</v>
      </c>
      <c r="F204" s="24" t="str">
        <f>IF($C204="","",INDEX([2]PLAN_DESARROLLO!$D:$D,MATCH($C204,[2]PLAN_DESARROLLO!$A:$A,0)))</f>
        <v>EDUCACION</v>
      </c>
      <c r="G204" s="24" t="str">
        <f>IF($C204="","",INDEX([2]PLAN_DESARROLLO!$E:$E,MATCH($C204,[2]PLAN_DESARROLLO!$A:$A,0)))</f>
        <v xml:space="preserve">Construir 1 Alianza con SENA o instituciones de Educación Superior para oferta educativa </v>
      </c>
      <c r="H204" s="25">
        <v>4</v>
      </c>
      <c r="I204" s="25">
        <v>1</v>
      </c>
      <c r="J204" s="26">
        <f t="shared" si="11"/>
        <v>0.25</v>
      </c>
      <c r="K204" s="27">
        <v>0</v>
      </c>
      <c r="L204" s="27">
        <v>0</v>
      </c>
      <c r="M204" s="26">
        <v>0</v>
      </c>
      <c r="N204" s="24" t="s">
        <v>642</v>
      </c>
      <c r="O204" s="24"/>
      <c r="P204" s="24" t="s">
        <v>502</v>
      </c>
      <c r="Q204" s="24"/>
      <c r="R204" s="24"/>
      <c r="S204" s="24"/>
      <c r="T204" s="28">
        <f t="shared" ca="1" si="10"/>
        <v>46059</v>
      </c>
      <c r="U204" s="24"/>
    </row>
    <row r="205" spans="1:21" ht="30" x14ac:dyDescent="0.25">
      <c r="A205" s="24" t="s">
        <v>498</v>
      </c>
      <c r="B205" s="24" t="s">
        <v>485</v>
      </c>
      <c r="C205" s="24" t="s">
        <v>33</v>
      </c>
      <c r="D205" s="24" t="str">
        <f>IF($C205="","",INDEX([2]PLAN_DESARROLLO!$B:$B,MATCH($C205,[2]PLAN_DESARROLLO!$A:$A,0)))</f>
        <v>2024257770005</v>
      </c>
      <c r="E205" s="24" t="str">
        <f>IF($C205="","",INDEX([2]PLAN_DESARROLLO!$C:$C,MATCH($C205,[2]PLAN_DESARROLLO!$A:$A,0)))</f>
        <v>POR EL SUPATÁ SOÑADO AVANZAMOS JUNTOS EN LA LÍNEA ESTRATÉGICA SOCIAL</v>
      </c>
      <c r="F205" s="24" t="str">
        <f>IF($C205="","",INDEX([2]PLAN_DESARROLLO!$D:$D,MATCH($C205,[2]PLAN_DESARROLLO!$A:$A,0)))</f>
        <v>EDUCACION</v>
      </c>
      <c r="G205" s="24" t="str">
        <f>IF($C205="","",INDEX([2]PLAN_DESARROLLO!$E:$E,MATCH($C205,[2]PLAN_DESARROLLO!$A:$A,0)))</f>
        <v xml:space="preserve">Construir 1 Alianza con SENA o instituciones de Educación Superior para oferta educativa </v>
      </c>
      <c r="H205" s="25">
        <v>4</v>
      </c>
      <c r="I205" s="25">
        <v>1</v>
      </c>
      <c r="J205" s="26">
        <f t="shared" si="11"/>
        <v>0.25</v>
      </c>
      <c r="K205" s="27">
        <v>0</v>
      </c>
      <c r="L205" s="27">
        <v>0</v>
      </c>
      <c r="M205" s="26">
        <v>0</v>
      </c>
      <c r="N205" s="24" t="s">
        <v>643</v>
      </c>
      <c r="O205" s="24"/>
      <c r="P205" s="24" t="s">
        <v>502</v>
      </c>
      <c r="Q205" s="24"/>
      <c r="R205" s="24"/>
      <c r="S205" s="24"/>
      <c r="T205" s="28">
        <f t="shared" ca="1" si="10"/>
        <v>46059</v>
      </c>
      <c r="U205" s="24"/>
    </row>
    <row r="206" spans="1:21" ht="45" x14ac:dyDescent="0.25">
      <c r="A206" s="29" t="s">
        <v>494</v>
      </c>
      <c r="B206" s="29" t="s">
        <v>485</v>
      </c>
      <c r="C206" s="29" t="s">
        <v>36</v>
      </c>
      <c r="D206" s="29" t="str">
        <f>IF($C206="","",INDEX([2]PLAN_DESARROLLO!$B:$B,MATCH($C206,[2]PLAN_DESARROLLO!$A:$A,0)))</f>
        <v>2024257770005</v>
      </c>
      <c r="E206" s="29" t="str">
        <f>IF($C206="","",INDEX([2]PLAN_DESARROLLO!$C:$C,MATCH($C206,[2]PLAN_DESARROLLO!$A:$A,0)))</f>
        <v>POR EL SUPATÁ SOÑADO AVANZAMOS JUNTOS EN LA LÍNEA ESTRATÉGICA SOCIAL</v>
      </c>
      <c r="F206" s="29" t="str">
        <f>IF($C206="","",INDEX([2]PLAN_DESARROLLO!$D:$D,MATCH($C206,[2]PLAN_DESARROLLO!$A:$A,0)))</f>
        <v>EDUCACION</v>
      </c>
      <c r="G206" s="29" t="str">
        <f>IF($C206="","",INDEX([2]PLAN_DESARROLLO!$E:$E,MATCH($C206,[2]PLAN_DESARROLLO!$A:$A,0)))</f>
        <v>Realizar un (1) convenio anual con el Servicio Nacional de Aprendizaje –SENA-, para la implementación del Programa de Jóvenes Rurales (SENA Emprende Rural)</v>
      </c>
      <c r="H206" s="30">
        <v>4</v>
      </c>
      <c r="I206" s="30"/>
      <c r="J206" s="31" t="str">
        <f t="shared" si="11"/>
        <v/>
      </c>
      <c r="K206" s="32"/>
      <c r="L206" s="32"/>
      <c r="M206" s="31" t="str">
        <f t="shared" si="12"/>
        <v/>
      </c>
      <c r="N206" s="29"/>
      <c r="O206" s="29"/>
      <c r="P206" s="29"/>
      <c r="Q206" s="29"/>
      <c r="R206" s="29"/>
      <c r="S206" s="29"/>
      <c r="T206" s="33">
        <f t="shared" ca="1" si="10"/>
        <v>46059</v>
      </c>
      <c r="U206" s="29"/>
    </row>
    <row r="207" spans="1:21" s="34" customFormat="1" ht="45" x14ac:dyDescent="0.25">
      <c r="A207" s="29" t="s">
        <v>498</v>
      </c>
      <c r="B207" s="29" t="s">
        <v>485</v>
      </c>
      <c r="C207" s="29" t="s">
        <v>36</v>
      </c>
      <c r="D207" s="29" t="str">
        <f>IF($C207="","",INDEX([2]PLAN_DESARROLLO!$B:$B,MATCH($C207,[2]PLAN_DESARROLLO!$A:$A,0)))</f>
        <v>2024257770005</v>
      </c>
      <c r="E207" s="29" t="str">
        <f>IF($C207="","",INDEX([2]PLAN_DESARROLLO!$C:$C,MATCH($C207,[2]PLAN_DESARROLLO!$A:$A,0)))</f>
        <v>POR EL SUPATÁ SOÑADO AVANZAMOS JUNTOS EN LA LÍNEA ESTRATÉGICA SOCIAL</v>
      </c>
      <c r="F207" s="29" t="str">
        <f>IF($C207="","",INDEX([2]PLAN_DESARROLLO!$D:$D,MATCH($C207,[2]PLAN_DESARROLLO!$A:$A,0)))</f>
        <v>EDUCACION</v>
      </c>
      <c r="G207" s="29" t="str">
        <f>IF($C207="","",INDEX([2]PLAN_DESARROLLO!$E:$E,MATCH($C207,[2]PLAN_DESARROLLO!$A:$A,0)))</f>
        <v>Realizar un (1) convenio anual con el Servicio Nacional de Aprendizaje –SENA-, para la implementación del Programa de Jóvenes Rurales (SENA Emprende Rural)</v>
      </c>
      <c r="H207" s="30">
        <v>4</v>
      </c>
      <c r="I207" s="30"/>
      <c r="J207" s="31" t="str">
        <f t="shared" si="11"/>
        <v/>
      </c>
      <c r="K207" s="32"/>
      <c r="L207" s="32"/>
      <c r="M207" s="31" t="str">
        <f t="shared" si="12"/>
        <v/>
      </c>
      <c r="N207" s="29"/>
      <c r="O207" s="29"/>
      <c r="P207" s="29"/>
      <c r="Q207" s="29"/>
      <c r="R207" s="29"/>
      <c r="S207" s="29"/>
      <c r="T207" s="33">
        <f t="shared" ca="1" si="10"/>
        <v>46059</v>
      </c>
      <c r="U207" s="29"/>
    </row>
    <row r="208" spans="1:21" s="35" customFormat="1" ht="30" x14ac:dyDescent="0.25">
      <c r="A208" s="24" t="s">
        <v>494</v>
      </c>
      <c r="B208" s="24" t="s">
        <v>485</v>
      </c>
      <c r="C208" s="24" t="s">
        <v>38</v>
      </c>
      <c r="D208" s="24" t="str">
        <f>IF($C208="","",INDEX([2]PLAN_DESARROLLO!$B:$B,MATCH($C208,[2]PLAN_DESARROLLO!$A:$A,0)))</f>
        <v>2024257770005</v>
      </c>
      <c r="E208" s="24" t="str">
        <f>IF($C208="","",INDEX([2]PLAN_DESARROLLO!$C:$C,MATCH($C208,[2]PLAN_DESARROLLO!$A:$A,0)))</f>
        <v>POR EL SUPATÁ SOÑADO AVANZAMOS JUNTOS EN LA LÍNEA ESTRATÉGICA SOCIAL</v>
      </c>
      <c r="F208" s="24" t="str">
        <f>IF($C208="","",INDEX([2]PLAN_DESARROLLO!$D:$D,MATCH($C208,[2]PLAN_DESARROLLO!$A:$A,0)))</f>
        <v>EDUCACION</v>
      </c>
      <c r="G208" s="24" t="str">
        <f>IF($C208="","",INDEX([2]PLAN_DESARROLLO!$E:$E,MATCH($C208,[2]PLAN_DESARROLLO!$A:$A,0)))</f>
        <v>Desarrollo de programa de mejoramiento de la calidad educativa PROMCE en minimo dos de sus componentes</v>
      </c>
      <c r="H208" s="25">
        <v>4</v>
      </c>
      <c r="I208" s="25">
        <v>1</v>
      </c>
      <c r="J208" s="26">
        <f t="shared" si="11"/>
        <v>0.25</v>
      </c>
      <c r="K208" s="27">
        <v>20000000</v>
      </c>
      <c r="L208" s="27">
        <v>0</v>
      </c>
      <c r="M208" s="26">
        <f t="shared" si="12"/>
        <v>0</v>
      </c>
      <c r="N208" s="24" t="s">
        <v>644</v>
      </c>
      <c r="O208" s="24"/>
      <c r="P208" s="24" t="s">
        <v>502</v>
      </c>
      <c r="Q208" s="24"/>
      <c r="R208" s="24"/>
      <c r="S208" s="24"/>
      <c r="T208" s="28">
        <f t="shared" ca="1" si="10"/>
        <v>46059</v>
      </c>
      <c r="U208" s="24"/>
    </row>
    <row r="209" spans="1:21" s="35" customFormat="1" ht="30" x14ac:dyDescent="0.25">
      <c r="A209" s="24" t="s">
        <v>498</v>
      </c>
      <c r="B209" s="24" t="s">
        <v>485</v>
      </c>
      <c r="C209" s="24" t="s">
        <v>38</v>
      </c>
      <c r="D209" s="24" t="str">
        <f>IF($C209="","",INDEX([2]PLAN_DESARROLLO!$B:$B,MATCH($C209,[2]PLAN_DESARROLLO!$A:$A,0)))</f>
        <v>2024257770005</v>
      </c>
      <c r="E209" s="24" t="str">
        <f>IF($C209="","",INDEX([2]PLAN_DESARROLLO!$C:$C,MATCH($C209,[2]PLAN_DESARROLLO!$A:$A,0)))</f>
        <v>POR EL SUPATÁ SOÑADO AVANZAMOS JUNTOS EN LA LÍNEA ESTRATÉGICA SOCIAL</v>
      </c>
      <c r="F209" s="24" t="str">
        <f>IF($C209="","",INDEX([2]PLAN_DESARROLLO!$D:$D,MATCH($C209,[2]PLAN_DESARROLLO!$A:$A,0)))</f>
        <v>EDUCACION</v>
      </c>
      <c r="G209" s="24" t="str">
        <f>IF($C209="","",INDEX([2]PLAN_DESARROLLO!$E:$E,MATCH($C209,[2]PLAN_DESARROLLO!$A:$A,0)))</f>
        <v>Desarrollo de programa de mejoramiento de la calidad educativa PROMCE en minimo dos de sus componentes</v>
      </c>
      <c r="H209" s="25">
        <v>4</v>
      </c>
      <c r="I209" s="25">
        <v>1</v>
      </c>
      <c r="J209" s="26">
        <f t="shared" si="11"/>
        <v>0.25</v>
      </c>
      <c r="K209" s="27">
        <v>20000000</v>
      </c>
      <c r="L209" s="27">
        <v>2400000</v>
      </c>
      <c r="M209" s="26">
        <f t="shared" si="12"/>
        <v>0.12</v>
      </c>
      <c r="N209" s="24" t="s">
        <v>644</v>
      </c>
      <c r="O209" s="24"/>
      <c r="P209" s="24" t="s">
        <v>502</v>
      </c>
      <c r="Q209" s="24"/>
      <c r="R209" s="24"/>
      <c r="S209" s="24"/>
      <c r="T209" s="28">
        <f t="shared" ca="1" si="10"/>
        <v>46059</v>
      </c>
      <c r="U209" s="24"/>
    </row>
    <row r="210" spans="1:21" s="35" customFormat="1" ht="30" x14ac:dyDescent="0.25">
      <c r="A210" s="24" t="s">
        <v>494</v>
      </c>
      <c r="B210" s="24" t="s">
        <v>485</v>
      </c>
      <c r="C210" s="24" t="s">
        <v>40</v>
      </c>
      <c r="D210" s="24" t="str">
        <f>IF($C210="","",INDEX([2]PLAN_DESARROLLO!$B:$B,MATCH($C210,[2]PLAN_DESARROLLO!$A:$A,0)))</f>
        <v>2024257770006</v>
      </c>
      <c r="E210" s="24" t="str">
        <f>IF($C210="","",INDEX([2]PLAN_DESARROLLO!$C:$C,MATCH($C210,[2]PLAN_DESARROLLO!$A:$A,0)))</f>
        <v>POR EL SUPATÁ SOÑADO AVANZAMOS JUNTOS EN LA LÍNEA ESTRATÉGICA SOCIAL</v>
      </c>
      <c r="F210" s="24" t="str">
        <f>IF($C210="","",INDEX([2]PLAN_DESARROLLO!$D:$D,MATCH($C210,[2]PLAN_DESARROLLO!$A:$A,0)))</f>
        <v>SALUD</v>
      </c>
      <c r="G210" s="24" t="str">
        <f>IF($C210="","",INDEX([2]PLAN_DESARROLLO!$E:$E,MATCH($C210,[2]PLAN_DESARROLLO!$A:$A,0)))</f>
        <v>Aumentar al 90% la población beneficiada con la Estrategia de APS Municipal</v>
      </c>
      <c r="H210" s="25">
        <v>90</v>
      </c>
      <c r="I210" s="25">
        <v>60</v>
      </c>
      <c r="J210" s="26">
        <f t="shared" si="11"/>
        <v>0.66666666666666663</v>
      </c>
      <c r="K210" s="27">
        <v>20150000</v>
      </c>
      <c r="L210" s="27">
        <v>20125000</v>
      </c>
      <c r="M210" s="26">
        <f t="shared" si="12"/>
        <v>0.99875930521091816</v>
      </c>
      <c r="N210" s="24" t="s">
        <v>645</v>
      </c>
      <c r="O210" s="24"/>
      <c r="P210" s="24"/>
      <c r="Q210" s="24"/>
      <c r="R210" s="24"/>
      <c r="S210" s="24"/>
      <c r="T210" s="28">
        <f t="shared" ca="1" si="10"/>
        <v>46059</v>
      </c>
      <c r="U210" s="24"/>
    </row>
    <row r="211" spans="1:21" s="35" customFormat="1" ht="30" x14ac:dyDescent="0.25">
      <c r="A211" s="24" t="s">
        <v>498</v>
      </c>
      <c r="B211" s="24" t="s">
        <v>485</v>
      </c>
      <c r="C211" s="24" t="s">
        <v>40</v>
      </c>
      <c r="D211" s="24" t="str">
        <f>IF($C211="","",INDEX([2]PLAN_DESARROLLO!$B:$B,MATCH($C211,[2]PLAN_DESARROLLO!$A:$A,0)))</f>
        <v>2024257770006</v>
      </c>
      <c r="E211" s="24" t="str">
        <f>IF($C211="","",INDEX([2]PLAN_DESARROLLO!$C:$C,MATCH($C211,[2]PLAN_DESARROLLO!$A:$A,0)))</f>
        <v>POR EL SUPATÁ SOÑADO AVANZAMOS JUNTOS EN LA LÍNEA ESTRATÉGICA SOCIAL</v>
      </c>
      <c r="F211" s="24" t="str">
        <f>IF($C211="","",INDEX([2]PLAN_DESARROLLO!$D:$D,MATCH($C211,[2]PLAN_DESARROLLO!$A:$A,0)))</f>
        <v>SALUD</v>
      </c>
      <c r="G211" s="24" t="str">
        <f>IF($C211="","",INDEX([2]PLAN_DESARROLLO!$E:$E,MATCH($C211,[2]PLAN_DESARROLLO!$A:$A,0)))</f>
        <v>Aumentar al 90% la población beneficiada con la Estrategia de APS Municipal</v>
      </c>
      <c r="H211" s="25">
        <v>90</v>
      </c>
      <c r="I211" s="25">
        <v>70</v>
      </c>
      <c r="J211" s="26">
        <f t="shared" si="11"/>
        <v>0.77777777777777779</v>
      </c>
      <c r="K211" s="27">
        <v>26507880</v>
      </c>
      <c r="L211" s="27">
        <v>26507880</v>
      </c>
      <c r="M211" s="26">
        <f t="shared" si="12"/>
        <v>1</v>
      </c>
      <c r="N211" s="24" t="s">
        <v>645</v>
      </c>
      <c r="O211" s="24"/>
      <c r="P211" s="24" t="s">
        <v>502</v>
      </c>
      <c r="Q211" s="24"/>
      <c r="R211" s="24"/>
      <c r="S211" s="24"/>
      <c r="T211" s="28">
        <f t="shared" ca="1" si="10"/>
        <v>46059</v>
      </c>
      <c r="U211" s="24"/>
    </row>
    <row r="212" spans="1:21" s="35" customFormat="1" ht="30" x14ac:dyDescent="0.25">
      <c r="A212" s="24" t="s">
        <v>494</v>
      </c>
      <c r="B212" s="24" t="s">
        <v>485</v>
      </c>
      <c r="C212" s="24" t="s">
        <v>44</v>
      </c>
      <c r="D212" s="24" t="str">
        <f>IF($C212="","",INDEX([2]PLAN_DESARROLLO!$B:$B,MATCH($C212,[2]PLAN_DESARROLLO!$A:$A,0)))</f>
        <v>2024257770006</v>
      </c>
      <c r="E212" s="24" t="str">
        <f>IF($C212="","",INDEX([2]PLAN_DESARROLLO!$C:$C,MATCH($C212,[2]PLAN_DESARROLLO!$A:$A,0)))</f>
        <v>POR EL SUPATÁ SOÑADO AVANZAMOS JUNTOS EN LA LÍNEA ESTRATÉGICA SOCIAL</v>
      </c>
      <c r="F212" s="24" t="str">
        <f>IF($C212="","",INDEX([2]PLAN_DESARROLLO!$D:$D,MATCH($C212,[2]PLAN_DESARROLLO!$A:$A,0)))</f>
        <v>SALUD</v>
      </c>
      <c r="G212" s="24" t="str">
        <f>IF($C212="","",INDEX([2]PLAN_DESARROLLO!$E:$E,MATCH($C212,[2]PLAN_DESARROLLO!$A:$A,0)))</f>
        <v xml:space="preserve">Implementar un plan de  acción de Participación Social en Salud  del Departamento  </v>
      </c>
      <c r="H212" s="25">
        <v>4</v>
      </c>
      <c r="I212" s="25">
        <v>1</v>
      </c>
      <c r="J212" s="26">
        <f t="shared" si="11"/>
        <v>0.25</v>
      </c>
      <c r="K212" s="27">
        <v>3200000</v>
      </c>
      <c r="L212" s="27">
        <v>3200000</v>
      </c>
      <c r="M212" s="26">
        <f t="shared" si="12"/>
        <v>1</v>
      </c>
      <c r="N212" s="24" t="s">
        <v>645</v>
      </c>
      <c r="O212" s="24"/>
      <c r="P212" s="24" t="s">
        <v>502</v>
      </c>
      <c r="Q212" s="24"/>
      <c r="R212" s="24"/>
      <c r="S212" s="24"/>
      <c r="T212" s="28">
        <f t="shared" ca="1" si="10"/>
        <v>46059</v>
      </c>
      <c r="U212" s="24"/>
    </row>
    <row r="213" spans="1:21" s="35" customFormat="1" ht="30" x14ac:dyDescent="0.25">
      <c r="A213" s="24" t="s">
        <v>498</v>
      </c>
      <c r="B213" s="24" t="s">
        <v>485</v>
      </c>
      <c r="C213" s="24" t="s">
        <v>44</v>
      </c>
      <c r="D213" s="24" t="str">
        <f>IF($C213="","",INDEX([2]PLAN_DESARROLLO!$B:$B,MATCH($C213,[2]PLAN_DESARROLLO!$A:$A,0)))</f>
        <v>2024257770006</v>
      </c>
      <c r="E213" s="24" t="str">
        <f>IF($C213="","",INDEX([2]PLAN_DESARROLLO!$C:$C,MATCH($C213,[2]PLAN_DESARROLLO!$A:$A,0)))</f>
        <v>POR EL SUPATÁ SOÑADO AVANZAMOS JUNTOS EN LA LÍNEA ESTRATÉGICA SOCIAL</v>
      </c>
      <c r="F213" s="24" t="str">
        <f>IF($C213="","",INDEX([2]PLAN_DESARROLLO!$D:$D,MATCH($C213,[2]PLAN_DESARROLLO!$A:$A,0)))</f>
        <v>SALUD</v>
      </c>
      <c r="G213" s="24" t="str">
        <f>IF($C213="","",INDEX([2]PLAN_DESARROLLO!$E:$E,MATCH($C213,[2]PLAN_DESARROLLO!$A:$A,0)))</f>
        <v xml:space="preserve">Implementar un plan de  acción de Participación Social en Salud  del Departamento  </v>
      </c>
      <c r="H213" s="25">
        <v>4</v>
      </c>
      <c r="I213" s="25">
        <v>1</v>
      </c>
      <c r="J213" s="26">
        <f t="shared" si="11"/>
        <v>0.25</v>
      </c>
      <c r="K213" s="27">
        <v>0</v>
      </c>
      <c r="L213" s="27">
        <v>0</v>
      </c>
      <c r="M213" s="26">
        <f t="shared" si="12"/>
        <v>0</v>
      </c>
      <c r="N213" s="24" t="s">
        <v>645</v>
      </c>
      <c r="O213" s="24"/>
      <c r="P213" s="24" t="s">
        <v>502</v>
      </c>
      <c r="Q213" s="24"/>
      <c r="R213" s="24"/>
      <c r="S213" s="24"/>
      <c r="T213" s="28">
        <f t="shared" ca="1" si="10"/>
        <v>46059</v>
      </c>
      <c r="U213" s="24"/>
    </row>
    <row r="214" spans="1:21" s="35" customFormat="1" ht="60" x14ac:dyDescent="0.25">
      <c r="A214" s="24" t="s">
        <v>494</v>
      </c>
      <c r="B214" s="24" t="s">
        <v>485</v>
      </c>
      <c r="C214" s="24" t="s">
        <v>46</v>
      </c>
      <c r="D214" s="24" t="str">
        <f>IF($C214="","",INDEX([2]PLAN_DESARROLLO!$B:$B,MATCH($C214,[2]PLAN_DESARROLLO!$A:$A,0)))</f>
        <v>2024257770006</v>
      </c>
      <c r="E214" s="24" t="str">
        <f>IF($C214="","",INDEX([2]PLAN_DESARROLLO!$C:$C,MATCH($C214,[2]PLAN_DESARROLLO!$A:$A,0)))</f>
        <v>POR EL SUPATÁ SOÑADO AVANZAMOS JUNTOS EN LA LÍNEA ESTRATÉGICA SOCIAL</v>
      </c>
      <c r="F214" s="24" t="str">
        <f>IF($C214="","",INDEX([2]PLAN_DESARROLLO!$D:$D,MATCH($C214,[2]PLAN_DESARROLLO!$A:$A,0)))</f>
        <v>SALUD</v>
      </c>
      <c r="G214" s="24" t="str">
        <f>IF($C214="","",INDEX([2]PLAN_DESARROLLO!$E:$E,MATCH($C214,[2]PLAN_DESARROLLO!$A:$A,0)))</f>
        <v>Gestionar la realizacion de jornadas de salud en la zona rural del municipio para el fortalecimiento de la atencion en el Nivel Primario, aplicacion de tamizajes y acciones de informacion, que incidan en el mantenimiento de la salud y la deteccion oportuna del riego de enfermedades en la poblacion.</v>
      </c>
      <c r="H214" s="25">
        <v>84</v>
      </c>
      <c r="I214" s="25">
        <v>12</v>
      </c>
      <c r="J214" s="26">
        <f t="shared" si="11"/>
        <v>0.14285714285714285</v>
      </c>
      <c r="K214" s="27">
        <v>0</v>
      </c>
      <c r="L214" s="27">
        <v>0</v>
      </c>
      <c r="M214" s="26">
        <f t="shared" si="12"/>
        <v>0</v>
      </c>
      <c r="N214" s="24" t="s">
        <v>645</v>
      </c>
      <c r="O214" s="24"/>
      <c r="P214" s="24" t="s">
        <v>502</v>
      </c>
      <c r="Q214" s="24"/>
      <c r="R214" s="24"/>
      <c r="S214" s="24"/>
      <c r="T214" s="28">
        <f t="shared" ca="1" si="10"/>
        <v>46059</v>
      </c>
      <c r="U214" s="24"/>
    </row>
    <row r="215" spans="1:21" s="35" customFormat="1" ht="60" x14ac:dyDescent="0.25">
      <c r="A215" s="24" t="s">
        <v>498</v>
      </c>
      <c r="B215" s="24" t="s">
        <v>485</v>
      </c>
      <c r="C215" s="24" t="s">
        <v>46</v>
      </c>
      <c r="D215" s="24" t="str">
        <f>IF($C215="","",INDEX([2]PLAN_DESARROLLO!$B:$B,MATCH($C215,[2]PLAN_DESARROLLO!$A:$A,0)))</f>
        <v>2024257770006</v>
      </c>
      <c r="E215" s="24" t="str">
        <f>IF($C215="","",INDEX([2]PLAN_DESARROLLO!$C:$C,MATCH($C215,[2]PLAN_DESARROLLO!$A:$A,0)))</f>
        <v>POR EL SUPATÁ SOÑADO AVANZAMOS JUNTOS EN LA LÍNEA ESTRATÉGICA SOCIAL</v>
      </c>
      <c r="F215" s="24" t="str">
        <f>IF($C215="","",INDEX([2]PLAN_DESARROLLO!$D:$D,MATCH($C215,[2]PLAN_DESARROLLO!$A:$A,0)))</f>
        <v>SALUD</v>
      </c>
      <c r="G215" s="24" t="str">
        <f>IF($C215="","",INDEX([2]PLAN_DESARROLLO!$E:$E,MATCH($C215,[2]PLAN_DESARROLLO!$A:$A,0)))</f>
        <v>Gestionar la realizacion de jornadas de salud en la zona rural del municipio para el fortalecimiento de la atencion en el Nivel Primario, aplicacion de tamizajes y acciones de informacion, que incidan en el mantenimiento de la salud y la deteccion oportuna del riego de enfermedades en la poblacion.</v>
      </c>
      <c r="H215" s="25">
        <v>84</v>
      </c>
      <c r="I215" s="25">
        <v>24</v>
      </c>
      <c r="J215" s="26">
        <f t="shared" si="11"/>
        <v>0.2857142857142857</v>
      </c>
      <c r="K215" s="27">
        <v>6240000000</v>
      </c>
      <c r="L215" s="27">
        <v>6240000000</v>
      </c>
      <c r="M215" s="26">
        <f t="shared" si="12"/>
        <v>1</v>
      </c>
      <c r="N215" s="24" t="s">
        <v>645</v>
      </c>
      <c r="O215" s="24"/>
      <c r="P215" s="24" t="s">
        <v>502</v>
      </c>
      <c r="Q215" s="24"/>
      <c r="R215" s="24"/>
      <c r="S215" s="24"/>
      <c r="T215" s="28">
        <f t="shared" ca="1" si="10"/>
        <v>46059</v>
      </c>
      <c r="U215" s="24"/>
    </row>
    <row r="216" spans="1:21" s="35" customFormat="1" ht="75" x14ac:dyDescent="0.25">
      <c r="A216" s="24" t="s">
        <v>494</v>
      </c>
      <c r="B216" s="24" t="s">
        <v>485</v>
      </c>
      <c r="C216" s="24" t="s">
        <v>48</v>
      </c>
      <c r="D216" s="24" t="str">
        <f>IF($C216="","",INDEX([2]PLAN_DESARROLLO!$B:$B,MATCH($C216,[2]PLAN_DESARROLLO!$A:$A,0)))</f>
        <v>2024257770006</v>
      </c>
      <c r="E216" s="24" t="str">
        <f>IF($C216="","",INDEX([2]PLAN_DESARROLLO!$C:$C,MATCH($C216,[2]PLAN_DESARROLLO!$A:$A,0)))</f>
        <v>POR EL SUPATÁ SOÑADO AVANZAMOS JUNTOS EN LA LÍNEA ESTRATÉGICA SOCIAL</v>
      </c>
      <c r="F216" s="24" t="str">
        <f>IF($C216="","",INDEX([2]PLAN_DESARROLLO!$D:$D,MATCH($C216,[2]PLAN_DESARROLLO!$A:$A,0)))</f>
        <v>SALUD</v>
      </c>
      <c r="G216" s="24" t="str">
        <f>IF($C216="","",INDEX([2]PLAN_DESARROLLO!$E:$E,MATCH($C216,[2]PLAN_DESARROLLO!$A:$A,0)))</f>
        <v>Aumentar en un 80% las actividades de educación y canalización del riesgo de enfermedades visuales, bucales y auditividas, a través de la aplicación de instrumentos de APS en las visitas de detección del riesgo en el ámbito familiar; garantizando la atención de la población en el marco de la ruta de promoción y mantenimiento de la salud.</v>
      </c>
      <c r="H216" s="25">
        <v>80</v>
      </c>
      <c r="I216" s="25">
        <v>70</v>
      </c>
      <c r="J216" s="26">
        <f t="shared" si="11"/>
        <v>0.875</v>
      </c>
      <c r="K216" s="27">
        <v>10000000</v>
      </c>
      <c r="L216" s="27">
        <v>10000000</v>
      </c>
      <c r="M216" s="26">
        <f t="shared" si="12"/>
        <v>1</v>
      </c>
      <c r="N216" s="24" t="s">
        <v>645</v>
      </c>
      <c r="O216" s="24"/>
      <c r="P216" s="24" t="s">
        <v>502</v>
      </c>
      <c r="Q216" s="24"/>
      <c r="R216" s="24"/>
      <c r="S216" s="24"/>
      <c r="T216" s="28">
        <f t="shared" ca="1" si="10"/>
        <v>46059</v>
      </c>
      <c r="U216" s="24"/>
    </row>
    <row r="217" spans="1:21" s="35" customFormat="1" ht="75" x14ac:dyDescent="0.25">
      <c r="A217" s="24" t="s">
        <v>498</v>
      </c>
      <c r="B217" s="24" t="s">
        <v>485</v>
      </c>
      <c r="C217" s="24" t="s">
        <v>48</v>
      </c>
      <c r="D217" s="24" t="str">
        <f>IF($C217="","",INDEX([2]PLAN_DESARROLLO!$B:$B,MATCH($C217,[2]PLAN_DESARROLLO!$A:$A,0)))</f>
        <v>2024257770006</v>
      </c>
      <c r="E217" s="24" t="str">
        <f>IF($C217="","",INDEX([2]PLAN_DESARROLLO!$C:$C,MATCH($C217,[2]PLAN_DESARROLLO!$A:$A,0)))</f>
        <v>POR EL SUPATÁ SOÑADO AVANZAMOS JUNTOS EN LA LÍNEA ESTRATÉGICA SOCIAL</v>
      </c>
      <c r="F217" s="24" t="str">
        <f>IF($C217="","",INDEX([2]PLAN_DESARROLLO!$D:$D,MATCH($C217,[2]PLAN_DESARROLLO!$A:$A,0)))</f>
        <v>SALUD</v>
      </c>
      <c r="G217" s="24" t="str">
        <f>IF($C217="","",INDEX([2]PLAN_DESARROLLO!$E:$E,MATCH($C217,[2]PLAN_DESARROLLO!$A:$A,0)))</f>
        <v>Aumentar en un 80% las actividades de educación y canalización del riesgo de enfermedades visuales, bucales y auditividas, a través de la aplicación de instrumentos de APS en las visitas de detección del riesgo en el ámbito familiar; garantizando la atención de la población en el marco de la ruta de promoción y mantenimiento de la salud.</v>
      </c>
      <c r="H217" s="25">
        <v>80</v>
      </c>
      <c r="I217" s="25">
        <v>70</v>
      </c>
      <c r="J217" s="26">
        <f t="shared" si="11"/>
        <v>0.875</v>
      </c>
      <c r="K217" s="27">
        <v>22000000</v>
      </c>
      <c r="L217" s="27">
        <v>22000000</v>
      </c>
      <c r="M217" s="26">
        <f t="shared" si="12"/>
        <v>1</v>
      </c>
      <c r="N217" s="24" t="s">
        <v>645</v>
      </c>
      <c r="O217" s="24"/>
      <c r="P217" s="24" t="s">
        <v>502</v>
      </c>
      <c r="Q217" s="24"/>
      <c r="R217" s="24"/>
      <c r="S217" s="24"/>
      <c r="T217" s="28">
        <f t="shared" ca="1" si="10"/>
        <v>46059</v>
      </c>
      <c r="U217" s="24"/>
    </row>
    <row r="218" spans="1:21" s="35" customFormat="1" ht="45" x14ac:dyDescent="0.25">
      <c r="A218" s="24" t="s">
        <v>494</v>
      </c>
      <c r="B218" s="24" t="s">
        <v>485</v>
      </c>
      <c r="C218" s="24" t="s">
        <v>50</v>
      </c>
      <c r="D218" s="24" t="str">
        <f>IF($C218="","",INDEX([2]PLAN_DESARROLLO!$B:$B,MATCH($C218,[2]PLAN_DESARROLLO!$A:$A,0)))</f>
        <v>2024257770006</v>
      </c>
      <c r="E218" s="24" t="str">
        <f>IF($C218="","",INDEX([2]PLAN_DESARROLLO!$C:$C,MATCH($C218,[2]PLAN_DESARROLLO!$A:$A,0)))</f>
        <v>POR EL SUPATÁ SOÑADO AVANZAMOS JUNTOS EN LA LÍNEA ESTRATÉGICA SOCIAL</v>
      </c>
      <c r="F218" s="24" t="str">
        <f>IF($C218="","",INDEX([2]PLAN_DESARROLLO!$D:$D,MATCH($C218,[2]PLAN_DESARROLLO!$A:$A,0)))</f>
        <v>SALUD</v>
      </c>
      <c r="G218" s="24" t="str">
        <f>IF($C218="","",INDEX([2]PLAN_DESARROLLO!$E:$E,MATCH($C218,[2]PLAN_DESARROLLO!$A:$A,0)))</f>
        <v>Incrementar en un 10% la identificación de personas con riesgo de enfermedad cardiovascular, crónica, nutricional y no transmisibles, a fin  de aumentar la cobertura y atención oportuna.</v>
      </c>
      <c r="H218" s="25">
        <v>100</v>
      </c>
      <c r="I218" s="25">
        <v>100</v>
      </c>
      <c r="J218" s="26">
        <f t="shared" si="11"/>
        <v>1</v>
      </c>
      <c r="K218" s="27">
        <v>4600000</v>
      </c>
      <c r="L218" s="27">
        <v>4600000</v>
      </c>
      <c r="M218" s="26">
        <f t="shared" si="12"/>
        <v>1</v>
      </c>
      <c r="N218" s="24" t="s">
        <v>645</v>
      </c>
      <c r="O218" s="24"/>
      <c r="P218" s="24" t="s">
        <v>502</v>
      </c>
      <c r="Q218" s="24"/>
      <c r="R218" s="24"/>
      <c r="S218" s="24"/>
      <c r="T218" s="28">
        <f t="shared" ca="1" si="10"/>
        <v>46059</v>
      </c>
      <c r="U218" s="24"/>
    </row>
    <row r="219" spans="1:21" s="35" customFormat="1" ht="45" x14ac:dyDescent="0.25">
      <c r="A219" s="24" t="s">
        <v>498</v>
      </c>
      <c r="B219" s="24" t="s">
        <v>485</v>
      </c>
      <c r="C219" s="24" t="s">
        <v>50</v>
      </c>
      <c r="D219" s="24" t="str">
        <f>IF($C219="","",INDEX([2]PLAN_DESARROLLO!$B:$B,MATCH($C219,[2]PLAN_DESARROLLO!$A:$A,0)))</f>
        <v>2024257770006</v>
      </c>
      <c r="E219" s="24" t="str">
        <f>IF($C219="","",INDEX([2]PLAN_DESARROLLO!$C:$C,MATCH($C219,[2]PLAN_DESARROLLO!$A:$A,0)))</f>
        <v>POR EL SUPATÁ SOÑADO AVANZAMOS JUNTOS EN LA LÍNEA ESTRATÉGICA SOCIAL</v>
      </c>
      <c r="F219" s="24" t="str">
        <f>IF($C219="","",INDEX([2]PLAN_DESARROLLO!$D:$D,MATCH($C219,[2]PLAN_DESARROLLO!$A:$A,0)))</f>
        <v>SALUD</v>
      </c>
      <c r="G219" s="24" t="str">
        <f>IF($C219="","",INDEX([2]PLAN_DESARROLLO!$E:$E,MATCH($C219,[2]PLAN_DESARROLLO!$A:$A,0)))</f>
        <v>Incrementar en un 10% la identificación de personas con riesgo de enfermedad cardiovascular, crónica, nutricional y no transmisibles, a fin  de aumentar la cobertura y atención oportuna.</v>
      </c>
      <c r="H219" s="25">
        <v>100</v>
      </c>
      <c r="I219" s="25">
        <v>100</v>
      </c>
      <c r="J219" s="26">
        <f t="shared" si="11"/>
        <v>1</v>
      </c>
      <c r="K219" s="27">
        <v>4738560</v>
      </c>
      <c r="L219" s="27">
        <v>4738560</v>
      </c>
      <c r="M219" s="26">
        <f t="shared" si="12"/>
        <v>1</v>
      </c>
      <c r="N219" s="24" t="s">
        <v>645</v>
      </c>
      <c r="O219" s="24"/>
      <c r="P219" s="24" t="s">
        <v>502</v>
      </c>
      <c r="Q219" s="24"/>
      <c r="R219" s="24"/>
      <c r="S219" s="24"/>
      <c r="T219" s="28">
        <f t="shared" ca="1" si="10"/>
        <v>46059</v>
      </c>
      <c r="U219" s="24"/>
    </row>
    <row r="220" spans="1:21" s="35" customFormat="1" ht="30" x14ac:dyDescent="0.25">
      <c r="A220" s="24" t="s">
        <v>494</v>
      </c>
      <c r="B220" s="24" t="s">
        <v>485</v>
      </c>
      <c r="C220" s="24" t="s">
        <v>52</v>
      </c>
      <c r="D220" s="24" t="str">
        <f>IF($C220="","",INDEX([2]PLAN_DESARROLLO!$B:$B,MATCH($C220,[2]PLAN_DESARROLLO!$A:$A,0)))</f>
        <v>2024257770006</v>
      </c>
      <c r="E220" s="24" t="str">
        <f>IF($C220="","",INDEX([2]PLAN_DESARROLLO!$C:$C,MATCH($C220,[2]PLAN_DESARROLLO!$A:$A,0)))</f>
        <v>POR EL SUPATÁ SOÑADO AVANZAMOS JUNTOS EN LA LÍNEA ESTRATÉGICA SOCIAL</v>
      </c>
      <c r="F220" s="24" t="str">
        <f>IF($C220="","",INDEX([2]PLAN_DESARROLLO!$D:$D,MATCH($C220,[2]PLAN_DESARROLLO!$A:$A,0)))</f>
        <v>SALUD</v>
      </c>
      <c r="G220" s="24" t="str">
        <f>IF($C220="","",INDEX([2]PLAN_DESARROLLO!$E:$E,MATCH($C220,[2]PLAN_DESARROLLO!$A:$A,0)))</f>
        <v>Construcción de 1 política pública en salud mental.</v>
      </c>
      <c r="H220" s="25">
        <v>1</v>
      </c>
      <c r="I220" s="25">
        <v>0</v>
      </c>
      <c r="J220" s="26">
        <f t="shared" si="11"/>
        <v>0</v>
      </c>
      <c r="K220" s="27">
        <v>0</v>
      </c>
      <c r="L220" s="27">
        <v>0</v>
      </c>
      <c r="M220" s="26">
        <f t="shared" si="12"/>
        <v>0</v>
      </c>
      <c r="N220" s="24"/>
      <c r="O220" s="24"/>
      <c r="P220" s="24" t="s">
        <v>495</v>
      </c>
      <c r="Q220" s="24"/>
      <c r="R220" s="24"/>
      <c r="S220" s="24"/>
      <c r="T220" s="28">
        <f t="shared" ca="1" si="10"/>
        <v>46059</v>
      </c>
      <c r="U220" s="24"/>
    </row>
    <row r="221" spans="1:21" s="35" customFormat="1" ht="30" x14ac:dyDescent="0.25">
      <c r="A221" s="24" t="s">
        <v>498</v>
      </c>
      <c r="B221" s="24" t="s">
        <v>485</v>
      </c>
      <c r="C221" s="24" t="s">
        <v>52</v>
      </c>
      <c r="D221" s="24" t="str">
        <f>IF($C221="","",INDEX([2]PLAN_DESARROLLO!$B:$B,MATCH($C221,[2]PLAN_DESARROLLO!$A:$A,0)))</f>
        <v>2024257770006</v>
      </c>
      <c r="E221" s="24" t="str">
        <f>IF($C221="","",INDEX([2]PLAN_DESARROLLO!$C:$C,MATCH($C221,[2]PLAN_DESARROLLO!$A:$A,0)))</f>
        <v>POR EL SUPATÁ SOÑADO AVANZAMOS JUNTOS EN LA LÍNEA ESTRATÉGICA SOCIAL</v>
      </c>
      <c r="F221" s="24" t="str">
        <f>IF($C221="","",INDEX([2]PLAN_DESARROLLO!$D:$D,MATCH($C221,[2]PLAN_DESARROLLO!$A:$A,0)))</f>
        <v>SALUD</v>
      </c>
      <c r="G221" s="24" t="str">
        <f>IF($C221="","",INDEX([2]PLAN_DESARROLLO!$E:$E,MATCH($C221,[2]PLAN_DESARROLLO!$A:$A,0)))</f>
        <v>Construcción de 1 política pública en salud mental.</v>
      </c>
      <c r="H221" s="25">
        <v>1</v>
      </c>
      <c r="I221" s="25">
        <v>0</v>
      </c>
      <c r="J221" s="26">
        <f t="shared" si="11"/>
        <v>0</v>
      </c>
      <c r="K221" s="27">
        <v>0</v>
      </c>
      <c r="L221" s="27">
        <v>0</v>
      </c>
      <c r="M221" s="26">
        <f t="shared" si="12"/>
        <v>0</v>
      </c>
      <c r="N221" s="24"/>
      <c r="O221" s="24"/>
      <c r="P221" s="24" t="s">
        <v>495</v>
      </c>
      <c r="Q221" s="24"/>
      <c r="R221" s="24"/>
      <c r="S221" s="24"/>
      <c r="T221" s="28">
        <f t="shared" ca="1" si="10"/>
        <v>46059</v>
      </c>
      <c r="U221" s="24"/>
    </row>
    <row r="222" spans="1:21" s="35" customFormat="1" ht="60" x14ac:dyDescent="0.25">
      <c r="A222" s="24" t="s">
        <v>494</v>
      </c>
      <c r="B222" s="24" t="s">
        <v>485</v>
      </c>
      <c r="C222" s="24" t="s">
        <v>54</v>
      </c>
      <c r="D222" s="24" t="str">
        <f>IF($C222="","",INDEX([2]PLAN_DESARROLLO!$B:$B,MATCH($C222,[2]PLAN_DESARROLLO!$A:$A,0)))</f>
        <v>2024257770006</v>
      </c>
      <c r="E222" s="24" t="str">
        <f>IF($C222="","",INDEX([2]PLAN_DESARROLLO!$C:$C,MATCH($C222,[2]PLAN_DESARROLLO!$A:$A,0)))</f>
        <v>POR EL SUPATÁ SOÑADO AVANZAMOS JUNTOS EN LA LÍNEA ESTRATÉGICA SOCIAL</v>
      </c>
      <c r="F222" s="24" t="str">
        <f>IF($C222="","",INDEX([2]PLAN_DESARROLLO!$D:$D,MATCH($C222,[2]PLAN_DESARROLLO!$A:$A,0)))</f>
        <v>SALUD</v>
      </c>
      <c r="G222" s="24" t="str">
        <f>IF($C222="","",INDEX([2]PLAN_DESARROLLO!$E:$E,MATCH($C222,[2]PLAN_DESARROLLO!$A:$A,0)))</f>
        <v>Generar planes de prevencion para reducir la incidencia de violencia basadas en genero y hechos de violencia intrafamiliar; asi como el consumo y la oferta de sustancias psicoactivas - SPA, en el marco de la promocion de la salud mental.</v>
      </c>
      <c r="H222" s="25">
        <v>4</v>
      </c>
      <c r="I222" s="25">
        <v>1</v>
      </c>
      <c r="J222" s="26">
        <f t="shared" si="11"/>
        <v>0.25</v>
      </c>
      <c r="K222" s="27">
        <v>12000000</v>
      </c>
      <c r="L222" s="27">
        <v>12000000</v>
      </c>
      <c r="M222" s="26">
        <f t="shared" si="12"/>
        <v>1</v>
      </c>
      <c r="N222" s="24" t="s">
        <v>645</v>
      </c>
      <c r="O222" s="24"/>
      <c r="P222" s="24" t="s">
        <v>502</v>
      </c>
      <c r="Q222" s="24"/>
      <c r="R222" s="24"/>
      <c r="S222" s="24"/>
      <c r="T222" s="28">
        <f t="shared" ca="1" si="10"/>
        <v>46059</v>
      </c>
      <c r="U222" s="24"/>
    </row>
    <row r="223" spans="1:21" s="35" customFormat="1" ht="60" x14ac:dyDescent="0.25">
      <c r="A223" s="24" t="s">
        <v>498</v>
      </c>
      <c r="B223" s="24" t="s">
        <v>485</v>
      </c>
      <c r="C223" s="24" t="s">
        <v>54</v>
      </c>
      <c r="D223" s="24" t="str">
        <f>IF($C223="","",INDEX([2]PLAN_DESARROLLO!$B:$B,MATCH($C223,[2]PLAN_DESARROLLO!$A:$A,0)))</f>
        <v>2024257770006</v>
      </c>
      <c r="E223" s="24" t="str">
        <f>IF($C223="","",INDEX([2]PLAN_DESARROLLO!$C:$C,MATCH($C223,[2]PLAN_DESARROLLO!$A:$A,0)))</f>
        <v>POR EL SUPATÁ SOÑADO AVANZAMOS JUNTOS EN LA LÍNEA ESTRATÉGICA SOCIAL</v>
      </c>
      <c r="F223" s="24" t="str">
        <f>IF($C223="","",INDEX([2]PLAN_DESARROLLO!$D:$D,MATCH($C223,[2]PLAN_DESARROLLO!$A:$A,0)))</f>
        <v>SALUD</v>
      </c>
      <c r="G223" s="24" t="str">
        <f>IF($C223="","",INDEX([2]PLAN_DESARROLLO!$E:$E,MATCH($C223,[2]PLAN_DESARROLLO!$A:$A,0)))</f>
        <v>Generar planes de prevencion para reducir la incidencia de violencia basadas en genero y hechos de violencia intrafamiliar; asi como el consumo y la oferta de sustancias psicoactivas - SPA, en el marco de la promocion de la salud mental.</v>
      </c>
      <c r="H223" s="25">
        <v>4</v>
      </c>
      <c r="I223" s="25">
        <v>1</v>
      </c>
      <c r="J223" s="26">
        <f t="shared" si="11"/>
        <v>0.25</v>
      </c>
      <c r="K223" s="27">
        <v>1500000</v>
      </c>
      <c r="L223" s="27">
        <v>1500000</v>
      </c>
      <c r="M223" s="26">
        <f t="shared" si="12"/>
        <v>1</v>
      </c>
      <c r="N223" s="24" t="s">
        <v>645</v>
      </c>
      <c r="O223" s="24"/>
      <c r="P223" s="24" t="s">
        <v>502</v>
      </c>
      <c r="Q223" s="24"/>
      <c r="R223" s="24"/>
      <c r="S223" s="24"/>
      <c r="T223" s="28">
        <f t="shared" ca="1" si="10"/>
        <v>46059</v>
      </c>
      <c r="U223" s="24"/>
    </row>
    <row r="224" spans="1:21" s="35" customFormat="1" ht="60" x14ac:dyDescent="0.25">
      <c r="A224" s="24" t="s">
        <v>494</v>
      </c>
      <c r="B224" s="24" t="s">
        <v>485</v>
      </c>
      <c r="C224" s="24" t="s">
        <v>56</v>
      </c>
      <c r="D224" s="24" t="str">
        <f>IF($C224="","",INDEX([2]PLAN_DESARROLLO!$B:$B,MATCH($C224,[2]PLAN_DESARROLLO!$A:$A,0)))</f>
        <v>2024257770006</v>
      </c>
      <c r="E224" s="24" t="str">
        <f>IF($C224="","",INDEX([2]PLAN_DESARROLLO!$C:$C,MATCH($C224,[2]PLAN_DESARROLLO!$A:$A,0)))</f>
        <v>POR EL SUPATÁ SOÑADO AVANZAMOS JUNTOS EN LA LÍNEA ESTRATÉGICA SOCIAL</v>
      </c>
      <c r="F224" s="24" t="str">
        <f>IF($C224="","",INDEX([2]PLAN_DESARROLLO!$D:$D,MATCH($C224,[2]PLAN_DESARROLLO!$A:$A,0)))</f>
        <v>SALUD</v>
      </c>
      <c r="G224" s="24" t="str">
        <f>IF($C224="","",INDEX([2]PLAN_DESARROLLO!$E:$E,MATCH($C224,[2]PLAN_DESARROLLO!$A:$A,0)))</f>
        <v>Mantener la mortalidad evitable en cero para poblacion infantil y las maternas del municipio de Supata, a traves del seguimiento al 100% de menores de 5 años y gestantes con alto riesgo por malnutricion y otras condiciones.</v>
      </c>
      <c r="H224" s="25">
        <v>0</v>
      </c>
      <c r="I224" s="25">
        <v>0</v>
      </c>
      <c r="J224" s="26">
        <f t="shared" si="11"/>
        <v>0</v>
      </c>
      <c r="K224" s="27">
        <v>6000000</v>
      </c>
      <c r="L224" s="27">
        <v>6000000</v>
      </c>
      <c r="M224" s="26">
        <f t="shared" si="12"/>
        <v>1</v>
      </c>
      <c r="N224" s="24" t="s">
        <v>645</v>
      </c>
      <c r="O224" s="24"/>
      <c r="P224" s="24" t="s">
        <v>502</v>
      </c>
      <c r="Q224" s="24"/>
      <c r="R224" s="24"/>
      <c r="S224" s="24"/>
      <c r="T224" s="28">
        <f t="shared" ca="1" si="10"/>
        <v>46059</v>
      </c>
      <c r="U224" s="24"/>
    </row>
    <row r="225" spans="1:21" s="35" customFormat="1" ht="60" x14ac:dyDescent="0.25">
      <c r="A225" s="24" t="s">
        <v>498</v>
      </c>
      <c r="B225" s="24" t="s">
        <v>485</v>
      </c>
      <c r="C225" s="24" t="s">
        <v>56</v>
      </c>
      <c r="D225" s="24" t="str">
        <f>IF($C225="","",INDEX([2]PLAN_DESARROLLO!$B:$B,MATCH($C225,[2]PLAN_DESARROLLO!$A:$A,0)))</f>
        <v>2024257770006</v>
      </c>
      <c r="E225" s="24" t="str">
        <f>IF($C225="","",INDEX([2]PLAN_DESARROLLO!$C:$C,MATCH($C225,[2]PLAN_DESARROLLO!$A:$A,0)))</f>
        <v>POR EL SUPATÁ SOÑADO AVANZAMOS JUNTOS EN LA LÍNEA ESTRATÉGICA SOCIAL</v>
      </c>
      <c r="F225" s="24" t="str">
        <f>IF($C225="","",INDEX([2]PLAN_DESARROLLO!$D:$D,MATCH($C225,[2]PLAN_DESARROLLO!$A:$A,0)))</f>
        <v>SALUD</v>
      </c>
      <c r="G225" s="24" t="str">
        <f>IF($C225="","",INDEX([2]PLAN_DESARROLLO!$E:$E,MATCH($C225,[2]PLAN_DESARROLLO!$A:$A,0)))</f>
        <v>Mantener la mortalidad evitable en cero para poblacion infantil y las maternas del municipio de Supata, a traves del seguimiento al 100% de menores de 5 años y gestantes con alto riesgo por malnutricion y otras condiciones.</v>
      </c>
      <c r="H225" s="25">
        <v>0</v>
      </c>
      <c r="I225" s="25">
        <v>0</v>
      </c>
      <c r="J225" s="26">
        <f t="shared" si="11"/>
        <v>0</v>
      </c>
      <c r="K225" s="27">
        <v>5250000</v>
      </c>
      <c r="L225" s="27">
        <v>5250000</v>
      </c>
      <c r="M225" s="26">
        <f t="shared" si="12"/>
        <v>1</v>
      </c>
      <c r="N225" s="24" t="s">
        <v>645</v>
      </c>
      <c r="O225" s="24"/>
      <c r="P225" s="24" t="s">
        <v>502</v>
      </c>
      <c r="Q225" s="24"/>
      <c r="R225" s="24"/>
      <c r="S225" s="24"/>
      <c r="T225" s="28">
        <f t="shared" ca="1" si="10"/>
        <v>46059</v>
      </c>
      <c r="U225" s="24"/>
    </row>
    <row r="226" spans="1:21" s="35" customFormat="1" ht="120" x14ac:dyDescent="0.25">
      <c r="A226" s="24" t="s">
        <v>494</v>
      </c>
      <c r="B226" s="24" t="s">
        <v>485</v>
      </c>
      <c r="C226" s="24" t="s">
        <v>58</v>
      </c>
      <c r="D226" s="24" t="str">
        <f>IF($C226="","",INDEX([2]PLAN_DESARROLLO!$B:$B,MATCH($C226,[2]PLAN_DESARROLLO!$A:$A,0)))</f>
        <v>2024257770006</v>
      </c>
      <c r="E226" s="24" t="str">
        <f>IF($C226="","",INDEX([2]PLAN_DESARROLLO!$C:$C,MATCH($C226,[2]PLAN_DESARROLLO!$A:$A,0)))</f>
        <v>POR EL SUPATÁ SOÑADO AVANZAMOS JUNTOS EN LA LÍNEA ESTRATÉGICA SOCIAL</v>
      </c>
      <c r="F226" s="24" t="str">
        <f>IF($C226="","",INDEX([2]PLAN_DESARROLLO!$D:$D,MATCH($C226,[2]PLAN_DESARROLLO!$A:$A,0)))</f>
        <v>SALUD</v>
      </c>
      <c r="G226" s="24" t="str">
        <f>IF($C226="","",INDEX([2]PLAN_DESARROLLO!$E:$E,MATCH($C226,[2]PLAN_DESARROLLO!$A:$A,0)))</f>
        <v>Adoptar en un 90% la Política Pública Departamental de Seguridad Alimentaria y Nutricional</v>
      </c>
      <c r="H226" s="25">
        <v>80</v>
      </c>
      <c r="I226" s="25">
        <v>70</v>
      </c>
      <c r="J226" s="26">
        <f t="shared" si="11"/>
        <v>0.875</v>
      </c>
      <c r="K226" s="27">
        <v>0</v>
      </c>
      <c r="L226" s="27">
        <v>0</v>
      </c>
      <c r="M226" s="26">
        <f t="shared" si="12"/>
        <v>0</v>
      </c>
      <c r="N226" s="24" t="s">
        <v>645</v>
      </c>
      <c r="O226" s="24"/>
      <c r="P226" s="24" t="s">
        <v>502</v>
      </c>
      <c r="Q226" s="24"/>
      <c r="R226" s="24"/>
      <c r="S226" s="24" t="s">
        <v>646</v>
      </c>
      <c r="T226" s="28">
        <f t="shared" ca="1" si="10"/>
        <v>46059</v>
      </c>
      <c r="U226" s="24"/>
    </row>
    <row r="227" spans="1:21" s="35" customFormat="1" ht="120" x14ac:dyDescent="0.25">
      <c r="A227" s="24" t="s">
        <v>498</v>
      </c>
      <c r="B227" s="24" t="s">
        <v>485</v>
      </c>
      <c r="C227" s="24" t="s">
        <v>58</v>
      </c>
      <c r="D227" s="24" t="str">
        <f>IF($C227="","",INDEX([2]PLAN_DESARROLLO!$B:$B,MATCH($C227,[2]PLAN_DESARROLLO!$A:$A,0)))</f>
        <v>2024257770006</v>
      </c>
      <c r="E227" s="24" t="str">
        <f>IF($C227="","",INDEX([2]PLAN_DESARROLLO!$C:$C,MATCH($C227,[2]PLAN_DESARROLLO!$A:$A,0)))</f>
        <v>POR EL SUPATÁ SOÑADO AVANZAMOS JUNTOS EN LA LÍNEA ESTRATÉGICA SOCIAL</v>
      </c>
      <c r="F227" s="24" t="str">
        <f>IF($C227="","",INDEX([2]PLAN_DESARROLLO!$D:$D,MATCH($C227,[2]PLAN_DESARROLLO!$A:$A,0)))</f>
        <v>SALUD</v>
      </c>
      <c r="G227" s="24" t="str">
        <f>IF($C227="","",INDEX([2]PLAN_DESARROLLO!$E:$E,MATCH($C227,[2]PLAN_DESARROLLO!$A:$A,0)))</f>
        <v>Adoptar en un 90% la Política Pública Departamental de Seguridad Alimentaria y Nutricional</v>
      </c>
      <c r="H227" s="25">
        <v>80</v>
      </c>
      <c r="I227" s="25">
        <v>80</v>
      </c>
      <c r="J227" s="26">
        <f t="shared" si="11"/>
        <v>1</v>
      </c>
      <c r="K227" s="27">
        <v>0</v>
      </c>
      <c r="L227" s="27">
        <v>0</v>
      </c>
      <c r="M227" s="26">
        <f t="shared" si="12"/>
        <v>0</v>
      </c>
      <c r="N227" s="24" t="s">
        <v>645</v>
      </c>
      <c r="O227" s="24"/>
      <c r="P227" s="24" t="s">
        <v>502</v>
      </c>
      <c r="Q227" s="24"/>
      <c r="R227" s="24"/>
      <c r="S227" s="24" t="s">
        <v>646</v>
      </c>
      <c r="T227" s="28">
        <f t="shared" ca="1" si="10"/>
        <v>46059</v>
      </c>
      <c r="U227" s="24"/>
    </row>
    <row r="228" spans="1:21" s="35" customFormat="1" ht="45" x14ac:dyDescent="0.25">
      <c r="A228" s="24" t="s">
        <v>498</v>
      </c>
      <c r="B228" s="24" t="s">
        <v>485</v>
      </c>
      <c r="C228" s="24" t="s">
        <v>60</v>
      </c>
      <c r="D228" s="24" t="str">
        <f>IF($C228="","",INDEX([2]PLAN_DESARROLLO!$B:$B,MATCH($C228,[2]PLAN_DESARROLLO!$A:$A,0)))</f>
        <v>2024257770006</v>
      </c>
      <c r="E228" s="24" t="str">
        <f>IF($C228="","",INDEX([2]PLAN_DESARROLLO!$C:$C,MATCH($C228,[2]PLAN_DESARROLLO!$A:$A,0)))</f>
        <v>POR EL SUPATÁ SOÑADO AVANZAMOS JUNTOS EN LA LÍNEA ESTRATÉGICA SOCIAL</v>
      </c>
      <c r="F228" s="24" t="str">
        <f>IF($C228="","",INDEX([2]PLAN_DESARROLLO!$D:$D,MATCH($C228,[2]PLAN_DESARROLLO!$A:$A,0)))</f>
        <v>SALUD</v>
      </c>
      <c r="G228" s="24" t="str">
        <f>IF($C228="","",INDEX([2]PLAN_DESARROLLO!$E:$E,MATCH($C228,[2]PLAN_DESARROLLO!$A:$A,0)))</f>
        <v xml:space="preserve">Promover que el  95% de las mujeres gestantes del municipio tengan  4 o más controles prenatales, en el marco de la Ruta de Atención Integral Materno Perinatal </v>
      </c>
      <c r="H228" s="25">
        <v>100</v>
      </c>
      <c r="I228" s="25">
        <v>100</v>
      </c>
      <c r="J228" s="26">
        <f t="shared" si="11"/>
        <v>1</v>
      </c>
      <c r="K228" s="27">
        <v>6000000</v>
      </c>
      <c r="L228" s="27">
        <v>6000000</v>
      </c>
      <c r="M228" s="26">
        <f t="shared" si="12"/>
        <v>1</v>
      </c>
      <c r="N228" s="24" t="s">
        <v>645</v>
      </c>
      <c r="O228" s="24"/>
      <c r="P228" s="24" t="s">
        <v>502</v>
      </c>
      <c r="Q228" s="24"/>
      <c r="R228" s="24"/>
      <c r="S228" s="24"/>
      <c r="T228" s="28">
        <f t="shared" ca="1" si="10"/>
        <v>46059</v>
      </c>
      <c r="U228" s="24"/>
    </row>
    <row r="229" spans="1:21" s="35" customFormat="1" ht="45" x14ac:dyDescent="0.25">
      <c r="A229" s="24" t="s">
        <v>494</v>
      </c>
      <c r="B229" s="24" t="s">
        <v>485</v>
      </c>
      <c r="C229" s="24" t="s">
        <v>60</v>
      </c>
      <c r="D229" s="24" t="str">
        <f>IF($C229="","",INDEX([2]PLAN_DESARROLLO!$B:$B,MATCH($C229,[2]PLAN_DESARROLLO!$A:$A,0)))</f>
        <v>2024257770006</v>
      </c>
      <c r="E229" s="24" t="str">
        <f>IF($C229="","",INDEX([2]PLAN_DESARROLLO!$C:$C,MATCH($C229,[2]PLAN_DESARROLLO!$A:$A,0)))</f>
        <v>POR EL SUPATÁ SOÑADO AVANZAMOS JUNTOS EN LA LÍNEA ESTRATÉGICA SOCIAL</v>
      </c>
      <c r="F229" s="24" t="str">
        <f>IF($C229="","",INDEX([2]PLAN_DESARROLLO!$D:$D,MATCH($C229,[2]PLAN_DESARROLLO!$A:$A,0)))</f>
        <v>SALUD</v>
      </c>
      <c r="G229" s="24" t="str">
        <f>IF($C229="","",INDEX([2]PLAN_DESARROLLO!$E:$E,MATCH($C229,[2]PLAN_DESARROLLO!$A:$A,0)))</f>
        <v xml:space="preserve">Promover que el  95% de las mujeres gestantes del municipio tengan  4 o más controles prenatales, en el marco de la Ruta de Atención Integral Materno Perinatal </v>
      </c>
      <c r="H229" s="25">
        <v>100</v>
      </c>
      <c r="I229" s="25">
        <v>100</v>
      </c>
      <c r="J229" s="26">
        <f t="shared" si="11"/>
        <v>1</v>
      </c>
      <c r="K229" s="27">
        <v>14726000</v>
      </c>
      <c r="L229" s="27">
        <v>14726000</v>
      </c>
      <c r="M229" s="26">
        <f t="shared" si="12"/>
        <v>1</v>
      </c>
      <c r="N229" s="24" t="s">
        <v>645</v>
      </c>
      <c r="O229" s="24"/>
      <c r="P229" s="24" t="s">
        <v>502</v>
      </c>
      <c r="Q229" s="24"/>
      <c r="R229" s="24"/>
      <c r="S229" s="24"/>
      <c r="T229" s="28">
        <f t="shared" ca="1" si="10"/>
        <v>46059</v>
      </c>
      <c r="U229" s="24"/>
    </row>
    <row r="230" spans="1:21" s="35" customFormat="1" ht="30" x14ac:dyDescent="0.25">
      <c r="A230" s="24" t="s">
        <v>498</v>
      </c>
      <c r="B230" s="24" t="s">
        <v>485</v>
      </c>
      <c r="C230" s="24" t="s">
        <v>62</v>
      </c>
      <c r="D230" s="24" t="str">
        <f>IF($C230="","",INDEX([2]PLAN_DESARROLLO!$B:$B,MATCH($C230,[2]PLAN_DESARROLLO!$A:$A,0)))</f>
        <v>2024257770006</v>
      </c>
      <c r="E230" s="24" t="str">
        <f>IF($C230="","",INDEX([2]PLAN_DESARROLLO!$C:$C,MATCH($C230,[2]PLAN_DESARROLLO!$A:$A,0)))</f>
        <v>POR EL SUPATÁ SOÑADO AVANZAMOS JUNTOS EN LA LÍNEA ESTRATÉGICA SOCIAL</v>
      </c>
      <c r="F230" s="24" t="str">
        <f>IF($C230="","",INDEX([2]PLAN_DESARROLLO!$D:$D,MATCH($C230,[2]PLAN_DESARROLLO!$A:$A,0)))</f>
        <v>SALUD</v>
      </c>
      <c r="G230" s="24" t="str">
        <f>IF($C230="","",INDEX([2]PLAN_DESARROLLO!$E:$E,MATCH($C230,[2]PLAN_DESARROLLO!$A:$A,0)))</f>
        <v>Implementar y adoptar al 100% la ruta de atencion integral para victimas de violencias de genero.</v>
      </c>
      <c r="H230" s="25">
        <v>90</v>
      </c>
      <c r="I230" s="25">
        <v>80</v>
      </c>
      <c r="J230" s="26">
        <f t="shared" si="11"/>
        <v>0.88888888888888884</v>
      </c>
      <c r="K230" s="27">
        <v>2000000</v>
      </c>
      <c r="L230" s="27">
        <v>2000000</v>
      </c>
      <c r="M230" s="26">
        <f t="shared" si="12"/>
        <v>1</v>
      </c>
      <c r="N230" s="24" t="s">
        <v>645</v>
      </c>
      <c r="O230" s="24"/>
      <c r="P230" s="24" t="s">
        <v>502</v>
      </c>
      <c r="Q230" s="24"/>
      <c r="R230" s="24"/>
      <c r="S230" s="24"/>
      <c r="T230" s="28">
        <f t="shared" ca="1" si="10"/>
        <v>46059</v>
      </c>
      <c r="U230" s="24"/>
    </row>
    <row r="231" spans="1:21" s="35" customFormat="1" ht="30" x14ac:dyDescent="0.25">
      <c r="A231" s="24" t="s">
        <v>494</v>
      </c>
      <c r="B231" s="24" t="s">
        <v>485</v>
      </c>
      <c r="C231" s="24" t="s">
        <v>62</v>
      </c>
      <c r="D231" s="24" t="str">
        <f>IF($C231="","",INDEX([2]PLAN_DESARROLLO!$B:$B,MATCH($C231,[2]PLAN_DESARROLLO!$A:$A,0)))</f>
        <v>2024257770006</v>
      </c>
      <c r="E231" s="24" t="str">
        <f>IF($C231="","",INDEX([2]PLAN_DESARROLLO!$C:$C,MATCH($C231,[2]PLAN_DESARROLLO!$A:$A,0)))</f>
        <v>POR EL SUPATÁ SOÑADO AVANZAMOS JUNTOS EN LA LÍNEA ESTRATÉGICA SOCIAL</v>
      </c>
      <c r="F231" s="24" t="str">
        <f>IF($C231="","",INDEX([2]PLAN_DESARROLLO!$D:$D,MATCH($C231,[2]PLAN_DESARROLLO!$A:$A,0)))</f>
        <v>SALUD</v>
      </c>
      <c r="G231" s="24" t="str">
        <f>IF($C231="","",INDEX([2]PLAN_DESARROLLO!$E:$E,MATCH($C231,[2]PLAN_DESARROLLO!$A:$A,0)))</f>
        <v>Implementar y adoptar al 100% la ruta de atencion integral para victimas de violencias de genero.</v>
      </c>
      <c r="H231" s="25">
        <v>90</v>
      </c>
      <c r="I231" s="25">
        <v>80</v>
      </c>
      <c r="J231" s="26">
        <f t="shared" si="11"/>
        <v>0.88888888888888884</v>
      </c>
      <c r="K231" s="27">
        <v>12870000</v>
      </c>
      <c r="L231" s="27">
        <v>12870000</v>
      </c>
      <c r="M231" s="26">
        <f t="shared" si="12"/>
        <v>1</v>
      </c>
      <c r="N231" s="24" t="s">
        <v>645</v>
      </c>
      <c r="O231" s="24"/>
      <c r="P231" s="24" t="s">
        <v>502</v>
      </c>
      <c r="Q231" s="24"/>
      <c r="R231" s="24"/>
      <c r="S231" s="24"/>
      <c r="T231" s="28">
        <f t="shared" ca="1" si="10"/>
        <v>46059</v>
      </c>
      <c r="U231" s="24"/>
    </row>
    <row r="232" spans="1:21" s="35" customFormat="1" ht="45" x14ac:dyDescent="0.25">
      <c r="A232" s="24" t="s">
        <v>498</v>
      </c>
      <c r="B232" s="24" t="s">
        <v>485</v>
      </c>
      <c r="C232" s="24" t="s">
        <v>64</v>
      </c>
      <c r="D232" s="24" t="str">
        <f>IF($C232="","",INDEX([2]PLAN_DESARROLLO!$B:$B,MATCH($C232,[2]PLAN_DESARROLLO!$A:$A,0)))</f>
        <v>2024257770006</v>
      </c>
      <c r="E232" s="24" t="str">
        <f>IF($C232="","",INDEX([2]PLAN_DESARROLLO!$C:$C,MATCH($C232,[2]PLAN_DESARROLLO!$A:$A,0)))</f>
        <v>POR EL SUPATÁ SOÑADO AVANZAMOS JUNTOS EN LA LÍNEA ESTRATÉGICA SOCIAL</v>
      </c>
      <c r="F232" s="24" t="str">
        <f>IF($C232="","",INDEX([2]PLAN_DESARROLLO!$D:$D,MATCH($C232,[2]PLAN_DESARROLLO!$A:$A,0)))</f>
        <v>SALUD</v>
      </c>
      <c r="G232" s="24" t="str">
        <f>IF($C232="","",INDEX([2]PLAN_DESARROLLO!$E:$E,MATCH($C232,[2]PLAN_DESARROLLO!$A:$A,0)))</f>
        <v xml:space="preserve">Alcanzar  al 80%  de las familias con estrategias de prevención y cuidado adecuado de enfermedades transmitidas por vía aérea o de contacto directo (IRA, TUBERCULOSIS; HANSEN, COVID 19) desde un enfoque comunitario. </v>
      </c>
      <c r="H232" s="25">
        <v>16</v>
      </c>
      <c r="I232" s="25">
        <v>4</v>
      </c>
      <c r="J232" s="26">
        <f t="shared" si="11"/>
        <v>0.25</v>
      </c>
      <c r="K232" s="27">
        <v>4000000</v>
      </c>
      <c r="L232" s="27">
        <v>4000000</v>
      </c>
      <c r="M232" s="26">
        <f t="shared" si="12"/>
        <v>1</v>
      </c>
      <c r="N232" s="24" t="s">
        <v>645</v>
      </c>
      <c r="O232" s="24"/>
      <c r="P232" s="24" t="s">
        <v>502</v>
      </c>
      <c r="Q232" s="24"/>
      <c r="R232" s="24"/>
      <c r="S232" s="24"/>
      <c r="T232" s="28">
        <f t="shared" ca="1" si="10"/>
        <v>46059</v>
      </c>
      <c r="U232" s="24"/>
    </row>
    <row r="233" spans="1:21" s="35" customFormat="1" ht="45" x14ac:dyDescent="0.25">
      <c r="A233" s="24" t="s">
        <v>494</v>
      </c>
      <c r="B233" s="24" t="s">
        <v>485</v>
      </c>
      <c r="C233" s="24" t="s">
        <v>64</v>
      </c>
      <c r="D233" s="24" t="str">
        <f>IF($C233="","",INDEX([2]PLAN_DESARROLLO!$B:$B,MATCH($C233,[2]PLAN_DESARROLLO!$A:$A,0)))</f>
        <v>2024257770006</v>
      </c>
      <c r="E233" s="24" t="str">
        <f>IF($C233="","",INDEX([2]PLAN_DESARROLLO!$C:$C,MATCH($C233,[2]PLAN_DESARROLLO!$A:$A,0)))</f>
        <v>POR EL SUPATÁ SOÑADO AVANZAMOS JUNTOS EN LA LÍNEA ESTRATÉGICA SOCIAL</v>
      </c>
      <c r="F233" s="24" t="str">
        <f>IF($C233="","",INDEX([2]PLAN_DESARROLLO!$D:$D,MATCH($C233,[2]PLAN_DESARROLLO!$A:$A,0)))</f>
        <v>SALUD</v>
      </c>
      <c r="G233" s="24" t="str">
        <f>IF($C233="","",INDEX([2]PLAN_DESARROLLO!$E:$E,MATCH($C233,[2]PLAN_DESARROLLO!$A:$A,0)))</f>
        <v xml:space="preserve">Alcanzar  al 80%  de las familias con estrategias de prevención y cuidado adecuado de enfermedades transmitidas por vía aérea o de contacto directo (IRA, TUBERCULOSIS; HANSEN, COVID 19) desde un enfoque comunitario. </v>
      </c>
      <c r="H233" s="25">
        <v>16</v>
      </c>
      <c r="I233" s="25">
        <v>4</v>
      </c>
      <c r="J233" s="26">
        <f t="shared" si="11"/>
        <v>0.25</v>
      </c>
      <c r="K233" s="27">
        <v>9470000</v>
      </c>
      <c r="L233" s="27">
        <v>9470000</v>
      </c>
      <c r="M233" s="26">
        <f t="shared" si="12"/>
        <v>1</v>
      </c>
      <c r="N233" s="24" t="s">
        <v>645</v>
      </c>
      <c r="O233" s="24"/>
      <c r="P233" s="24" t="s">
        <v>502</v>
      </c>
      <c r="Q233" s="24"/>
      <c r="R233" s="24"/>
      <c r="S233" s="24"/>
      <c r="T233" s="28">
        <f t="shared" ca="1" si="10"/>
        <v>46059</v>
      </c>
      <c r="U233" s="24"/>
    </row>
    <row r="234" spans="1:21" s="35" customFormat="1" ht="45" x14ac:dyDescent="0.25">
      <c r="A234" s="24" t="s">
        <v>498</v>
      </c>
      <c r="B234" s="24" t="s">
        <v>485</v>
      </c>
      <c r="C234" s="24" t="s">
        <v>66</v>
      </c>
      <c r="D234" s="24" t="str">
        <f>IF($C234="","",INDEX([2]PLAN_DESARROLLO!$B:$B,MATCH($C234,[2]PLAN_DESARROLLO!$A:$A,0)))</f>
        <v>2024257770006</v>
      </c>
      <c r="E234" s="24" t="str">
        <f>IF($C234="","",INDEX([2]PLAN_DESARROLLO!$C:$C,MATCH($C234,[2]PLAN_DESARROLLO!$A:$A,0)))</f>
        <v>POR EL SUPATÁ SOÑADO AVANZAMOS JUNTOS EN LA LÍNEA ESTRATÉGICA SOCIAL</v>
      </c>
      <c r="F234" s="24" t="str">
        <f>IF($C234="","",INDEX([2]PLAN_DESARROLLO!$D:$D,MATCH($C234,[2]PLAN_DESARROLLO!$A:$A,0)))</f>
        <v>SALUD</v>
      </c>
      <c r="G234" s="24" t="str">
        <f>IF($C234="","",INDEX([2]PLAN_DESARROLLO!$E:$E,MATCH($C234,[2]PLAN_DESARROLLO!$A:$A,0)))</f>
        <v xml:space="preserve">realizar 4 Jornadas anuales de vacunación extramurales que nos permitan llegar a toda la población del territorio y así aumentar cobertura de vacunación. </v>
      </c>
      <c r="H234" s="25">
        <v>80</v>
      </c>
      <c r="I234" s="25">
        <v>50</v>
      </c>
      <c r="J234" s="26">
        <f t="shared" si="11"/>
        <v>0.625</v>
      </c>
      <c r="K234" s="27">
        <v>45234000</v>
      </c>
      <c r="L234" s="27">
        <v>45234000</v>
      </c>
      <c r="M234" s="26">
        <f t="shared" si="12"/>
        <v>1</v>
      </c>
      <c r="N234" s="24" t="s">
        <v>645</v>
      </c>
      <c r="O234" s="24"/>
      <c r="P234" s="24" t="s">
        <v>502</v>
      </c>
      <c r="Q234" s="24"/>
      <c r="R234" s="24"/>
      <c r="S234" s="24"/>
      <c r="T234" s="28">
        <f t="shared" ca="1" si="10"/>
        <v>46059</v>
      </c>
      <c r="U234" s="24"/>
    </row>
    <row r="235" spans="1:21" s="35" customFormat="1" ht="45" x14ac:dyDescent="0.25">
      <c r="A235" s="24" t="s">
        <v>494</v>
      </c>
      <c r="B235" s="24" t="s">
        <v>485</v>
      </c>
      <c r="C235" s="24" t="s">
        <v>66</v>
      </c>
      <c r="D235" s="24" t="str">
        <f>IF($C235="","",INDEX([2]PLAN_DESARROLLO!$B:$B,MATCH($C235,[2]PLAN_DESARROLLO!$A:$A,0)))</f>
        <v>2024257770006</v>
      </c>
      <c r="E235" s="24" t="str">
        <f>IF($C235="","",INDEX([2]PLAN_DESARROLLO!$C:$C,MATCH($C235,[2]PLAN_DESARROLLO!$A:$A,0)))</f>
        <v>POR EL SUPATÁ SOÑADO AVANZAMOS JUNTOS EN LA LÍNEA ESTRATÉGICA SOCIAL</v>
      </c>
      <c r="F235" s="24" t="str">
        <f>IF($C235="","",INDEX([2]PLAN_DESARROLLO!$D:$D,MATCH($C235,[2]PLAN_DESARROLLO!$A:$A,0)))</f>
        <v>SALUD</v>
      </c>
      <c r="G235" s="24" t="str">
        <f>IF($C235="","",INDEX([2]PLAN_DESARROLLO!$E:$E,MATCH($C235,[2]PLAN_DESARROLLO!$A:$A,0)))</f>
        <v xml:space="preserve">realizar 4 Jornadas anuales de vacunación extramurales que nos permitan llegar a toda la población del territorio y así aumentar cobertura de vacunación. </v>
      </c>
      <c r="H235" s="25">
        <v>80</v>
      </c>
      <c r="I235" s="25">
        <v>50</v>
      </c>
      <c r="J235" s="26">
        <f t="shared" si="11"/>
        <v>0.625</v>
      </c>
      <c r="K235" s="27">
        <v>27396000</v>
      </c>
      <c r="L235" s="27">
        <v>27396000</v>
      </c>
      <c r="M235" s="26">
        <f t="shared" si="12"/>
        <v>1</v>
      </c>
      <c r="N235" s="24" t="s">
        <v>645</v>
      </c>
      <c r="O235" s="24"/>
      <c r="P235" s="24" t="s">
        <v>502</v>
      </c>
      <c r="Q235" s="24"/>
      <c r="R235" s="24"/>
      <c r="S235" s="24"/>
      <c r="T235" s="28">
        <f t="shared" ca="1" si="10"/>
        <v>46059</v>
      </c>
      <c r="U235" s="24"/>
    </row>
    <row r="236" spans="1:21" s="35" customFormat="1" ht="30" x14ac:dyDescent="0.25">
      <c r="A236" s="24" t="s">
        <v>498</v>
      </c>
      <c r="B236" s="24" t="s">
        <v>485</v>
      </c>
      <c r="C236" s="24" t="s">
        <v>68</v>
      </c>
      <c r="D236" s="24" t="str">
        <f>IF($C236="","",INDEX([2]PLAN_DESARROLLO!$B:$B,MATCH($C236,[2]PLAN_DESARROLLO!$A:$A,0)))</f>
        <v>2024257770006</v>
      </c>
      <c r="E236" s="24" t="str">
        <f>IF($C236="","",INDEX([2]PLAN_DESARROLLO!$C:$C,MATCH($C236,[2]PLAN_DESARROLLO!$A:$A,0)))</f>
        <v>POR EL SUPATÁ SOÑADO AVANZAMOS JUNTOS EN LA LÍNEA ESTRATÉGICA SOCIAL</v>
      </c>
      <c r="F236" s="24" t="str">
        <f>IF($C236="","",INDEX([2]PLAN_DESARROLLO!$D:$D,MATCH($C236,[2]PLAN_DESARROLLO!$A:$A,0)))</f>
        <v>SALUD</v>
      </c>
      <c r="G236" s="24" t="str">
        <f>IF($C236="","",INDEX([2]PLAN_DESARROLLO!$E:$E,MATCH($C236,[2]PLAN_DESARROLLO!$A:$A,0)))</f>
        <v xml:space="preserve">Generar estrategias para la promoción de los Estilos, modos y condiciones saludables en el entorno laboral </v>
      </c>
      <c r="H236" s="25">
        <v>100</v>
      </c>
      <c r="I236" s="25">
        <v>100</v>
      </c>
      <c r="J236" s="26">
        <f t="shared" si="11"/>
        <v>1</v>
      </c>
      <c r="K236" s="27">
        <v>18516000</v>
      </c>
      <c r="L236" s="27">
        <v>18516000</v>
      </c>
      <c r="M236" s="26">
        <f t="shared" si="12"/>
        <v>1</v>
      </c>
      <c r="N236" s="24" t="s">
        <v>645</v>
      </c>
      <c r="O236" s="24"/>
      <c r="P236" s="24" t="s">
        <v>502</v>
      </c>
      <c r="Q236" s="24"/>
      <c r="R236" s="24"/>
      <c r="S236" s="24"/>
      <c r="T236" s="28">
        <f t="shared" ca="1" si="10"/>
        <v>46059</v>
      </c>
      <c r="U236" s="24"/>
    </row>
    <row r="237" spans="1:21" s="35" customFormat="1" ht="30" x14ac:dyDescent="0.25">
      <c r="A237" s="24" t="s">
        <v>494</v>
      </c>
      <c r="B237" s="24" t="s">
        <v>485</v>
      </c>
      <c r="C237" s="24" t="s">
        <v>68</v>
      </c>
      <c r="D237" s="24" t="str">
        <f>IF($C237="","",INDEX([2]PLAN_DESARROLLO!$B:$B,MATCH($C237,[2]PLAN_DESARROLLO!$A:$A,0)))</f>
        <v>2024257770006</v>
      </c>
      <c r="E237" s="24" t="str">
        <f>IF($C237="","",INDEX([2]PLAN_DESARROLLO!$C:$C,MATCH($C237,[2]PLAN_DESARROLLO!$A:$A,0)))</f>
        <v>POR EL SUPATÁ SOÑADO AVANZAMOS JUNTOS EN LA LÍNEA ESTRATÉGICA SOCIAL</v>
      </c>
      <c r="F237" s="24" t="str">
        <f>IF($C237="","",INDEX([2]PLAN_DESARROLLO!$D:$D,MATCH($C237,[2]PLAN_DESARROLLO!$A:$A,0)))</f>
        <v>SALUD</v>
      </c>
      <c r="G237" s="24" t="str">
        <f>IF($C237="","",INDEX([2]PLAN_DESARROLLO!$E:$E,MATCH($C237,[2]PLAN_DESARROLLO!$A:$A,0)))</f>
        <v xml:space="preserve">Generar estrategias para la promoción de los Estilos, modos y condiciones saludables en el entorno laboral </v>
      </c>
      <c r="H237" s="25">
        <v>100</v>
      </c>
      <c r="I237" s="25">
        <v>100</v>
      </c>
      <c r="J237" s="26">
        <f t="shared" si="11"/>
        <v>1</v>
      </c>
      <c r="K237" s="27">
        <v>8060000</v>
      </c>
      <c r="L237" s="27">
        <v>8060000</v>
      </c>
      <c r="M237" s="26">
        <f t="shared" si="12"/>
        <v>1</v>
      </c>
      <c r="N237" s="24" t="s">
        <v>645</v>
      </c>
      <c r="O237" s="24"/>
      <c r="P237" s="24" t="s">
        <v>502</v>
      </c>
      <c r="Q237" s="24"/>
      <c r="R237" s="24"/>
      <c r="S237" s="24"/>
      <c r="T237" s="28">
        <f t="shared" ca="1" si="10"/>
        <v>46059</v>
      </c>
      <c r="U237" s="24"/>
    </row>
    <row r="238" spans="1:21" s="35" customFormat="1" ht="30" x14ac:dyDescent="0.25">
      <c r="A238" s="24" t="s">
        <v>494</v>
      </c>
      <c r="B238" s="24" t="s">
        <v>485</v>
      </c>
      <c r="C238" s="24" t="s">
        <v>70</v>
      </c>
      <c r="D238" s="24" t="str">
        <f>IF($C238="","",INDEX([2]PLAN_DESARROLLO!$B:$B,MATCH($C238,[2]PLAN_DESARROLLO!$A:$A,0)))</f>
        <v>2024257770006</v>
      </c>
      <c r="E238" s="24" t="str">
        <f>IF($C238="","",INDEX([2]PLAN_DESARROLLO!$C:$C,MATCH($C238,[2]PLAN_DESARROLLO!$A:$A,0)))</f>
        <v>POR EL SUPATÁ SOÑADO AVANZAMOS JUNTOS EN LA LÍNEA ESTRATÉGICA SOCIAL</v>
      </c>
      <c r="F238" s="24" t="str">
        <f>IF($C238="","",INDEX([2]PLAN_DESARROLLO!$D:$D,MATCH($C238,[2]PLAN_DESARROLLO!$A:$A,0)))</f>
        <v>SALUD</v>
      </c>
      <c r="G238" s="24" t="str">
        <f>IF($C238="","",INDEX([2]PLAN_DESARROLLO!$E:$E,MATCH($C238,[2]PLAN_DESARROLLO!$A:$A,0)))</f>
        <v xml:space="preserve">Implementar en un 100% la estrategia AIEPI, para el desarrollo integral de los niños y niñas del municipio. </v>
      </c>
      <c r="H238" s="25">
        <v>100</v>
      </c>
      <c r="I238" s="25">
        <v>95</v>
      </c>
      <c r="J238" s="26">
        <f t="shared" si="11"/>
        <v>0.95</v>
      </c>
      <c r="K238" s="27">
        <v>3000000</v>
      </c>
      <c r="L238" s="27">
        <v>3000000</v>
      </c>
      <c r="M238" s="26">
        <f t="shared" si="12"/>
        <v>1</v>
      </c>
      <c r="N238" s="24" t="s">
        <v>645</v>
      </c>
      <c r="O238" s="24"/>
      <c r="P238" s="24" t="s">
        <v>502</v>
      </c>
      <c r="Q238" s="24"/>
      <c r="R238" s="24"/>
      <c r="S238" s="24"/>
      <c r="T238" s="28">
        <f t="shared" ca="1" si="10"/>
        <v>46059</v>
      </c>
      <c r="U238" s="24"/>
    </row>
    <row r="239" spans="1:21" s="35" customFormat="1" ht="30" x14ac:dyDescent="0.25">
      <c r="A239" s="24" t="s">
        <v>498</v>
      </c>
      <c r="B239" s="24" t="s">
        <v>485</v>
      </c>
      <c r="C239" s="24" t="s">
        <v>70</v>
      </c>
      <c r="D239" s="24" t="str">
        <f>IF($C239="","",INDEX([2]PLAN_DESARROLLO!$B:$B,MATCH($C239,[2]PLAN_DESARROLLO!$A:$A,0)))</f>
        <v>2024257770006</v>
      </c>
      <c r="E239" s="24" t="str">
        <f>IF($C239="","",INDEX([2]PLAN_DESARROLLO!$C:$C,MATCH($C239,[2]PLAN_DESARROLLO!$A:$A,0)))</f>
        <v>POR EL SUPATÁ SOÑADO AVANZAMOS JUNTOS EN LA LÍNEA ESTRATÉGICA SOCIAL</v>
      </c>
      <c r="F239" s="24" t="str">
        <f>IF($C239="","",INDEX([2]PLAN_DESARROLLO!$D:$D,MATCH($C239,[2]PLAN_DESARROLLO!$A:$A,0)))</f>
        <v>SALUD</v>
      </c>
      <c r="G239" s="24" t="str">
        <f>IF($C239="","",INDEX([2]PLAN_DESARROLLO!$E:$E,MATCH($C239,[2]PLAN_DESARROLLO!$A:$A,0)))</f>
        <v xml:space="preserve">Implementar en un 100% la estrategia AIEPI, para el desarrollo integral de los niños y niñas del municipio. </v>
      </c>
      <c r="H239" s="25">
        <v>100</v>
      </c>
      <c r="I239" s="25">
        <v>100</v>
      </c>
      <c r="J239" s="26">
        <f t="shared" si="11"/>
        <v>1</v>
      </c>
      <c r="K239" s="27">
        <v>6322875</v>
      </c>
      <c r="L239" s="27">
        <v>6322875</v>
      </c>
      <c r="M239" s="26">
        <f t="shared" si="12"/>
        <v>1</v>
      </c>
      <c r="N239" s="24" t="s">
        <v>645</v>
      </c>
      <c r="O239" s="24"/>
      <c r="P239" s="24" t="s">
        <v>502</v>
      </c>
      <c r="Q239" s="24"/>
      <c r="R239" s="24"/>
      <c r="S239" s="24"/>
      <c r="T239" s="28">
        <f t="shared" ca="1" si="10"/>
        <v>46059</v>
      </c>
      <c r="U239" s="24"/>
    </row>
    <row r="240" spans="1:21" s="35" customFormat="1" ht="45" x14ac:dyDescent="0.25">
      <c r="A240" s="24" t="s">
        <v>494</v>
      </c>
      <c r="B240" s="24" t="s">
        <v>485</v>
      </c>
      <c r="C240" s="24" t="s">
        <v>72</v>
      </c>
      <c r="D240" s="24" t="str">
        <f>IF($C240="","",INDEX([2]PLAN_DESARROLLO!$B:$B,MATCH($C240,[2]PLAN_DESARROLLO!$A:$A,0)))</f>
        <v>2024257770006</v>
      </c>
      <c r="E240" s="24" t="str">
        <f>IF($C240="","",INDEX([2]PLAN_DESARROLLO!$C:$C,MATCH($C240,[2]PLAN_DESARROLLO!$A:$A,0)))</f>
        <v>POR EL SUPATÁ SOÑADO AVANZAMOS JUNTOS EN LA LÍNEA ESTRATÉGICA SOCIAL</v>
      </c>
      <c r="F240" s="24" t="str">
        <f>IF($C240="","",INDEX([2]PLAN_DESARROLLO!$D:$D,MATCH($C240,[2]PLAN_DESARROLLO!$A:$A,0)))</f>
        <v>SALUD</v>
      </c>
      <c r="G240" s="24" t="str">
        <f>IF($C240="","",INDEX([2]PLAN_DESARROLLO!$E:$E,MATCH($C240,[2]PLAN_DESARROLLO!$A:$A,0)))</f>
        <v>Adoptar y  adaptar en un 100%  la política pública desdelas acciones  SALUD e envejecimiento y vejez  departamental conforme a los lineamientos y desarrollos técnicos definidos por el Ministerio de Salud y Protección Social.</v>
      </c>
      <c r="H240" s="25">
        <v>95</v>
      </c>
      <c r="I240" s="25">
        <v>92</v>
      </c>
      <c r="J240" s="26">
        <f t="shared" si="11"/>
        <v>0.96842105263157896</v>
      </c>
      <c r="K240" s="27">
        <v>0</v>
      </c>
      <c r="L240" s="27">
        <v>0</v>
      </c>
      <c r="M240" s="26">
        <f t="shared" si="12"/>
        <v>0</v>
      </c>
      <c r="N240" s="24" t="s">
        <v>645</v>
      </c>
      <c r="O240" s="24"/>
      <c r="P240" s="24" t="s">
        <v>502</v>
      </c>
      <c r="Q240" s="24"/>
      <c r="R240" s="24"/>
      <c r="S240" s="24"/>
      <c r="T240" s="28">
        <f t="shared" ca="1" si="10"/>
        <v>46059</v>
      </c>
      <c r="U240" s="24"/>
    </row>
    <row r="241" spans="1:21" s="35" customFormat="1" ht="45" x14ac:dyDescent="0.25">
      <c r="A241" s="24" t="s">
        <v>498</v>
      </c>
      <c r="B241" s="24" t="s">
        <v>485</v>
      </c>
      <c r="C241" s="24" t="s">
        <v>72</v>
      </c>
      <c r="D241" s="24" t="str">
        <f>IF($C241="","",INDEX([2]PLAN_DESARROLLO!$B:$B,MATCH($C241,[2]PLAN_DESARROLLO!$A:$A,0)))</f>
        <v>2024257770006</v>
      </c>
      <c r="E241" s="24" t="str">
        <f>IF($C241="","",INDEX([2]PLAN_DESARROLLO!$C:$C,MATCH($C241,[2]PLAN_DESARROLLO!$A:$A,0)))</f>
        <v>POR EL SUPATÁ SOÑADO AVANZAMOS JUNTOS EN LA LÍNEA ESTRATÉGICA SOCIAL</v>
      </c>
      <c r="F241" s="24" t="str">
        <f>IF($C241="","",INDEX([2]PLAN_DESARROLLO!$D:$D,MATCH($C241,[2]PLAN_DESARROLLO!$A:$A,0)))</f>
        <v>SALUD</v>
      </c>
      <c r="G241" s="24" t="str">
        <f>IF($C241="","",INDEX([2]PLAN_DESARROLLO!$E:$E,MATCH($C241,[2]PLAN_DESARROLLO!$A:$A,0)))</f>
        <v>Adoptar y  adaptar en un 100%  la política pública desdelas acciones  SALUD e envejecimiento y vejez  departamental conforme a los lineamientos y desarrollos técnicos definidos por el Ministerio de Salud y Protección Social.</v>
      </c>
      <c r="H241" s="25">
        <v>95</v>
      </c>
      <c r="I241" s="25">
        <v>95</v>
      </c>
      <c r="J241" s="26">
        <f t="shared" si="11"/>
        <v>1</v>
      </c>
      <c r="K241" s="27">
        <v>4105000000</v>
      </c>
      <c r="L241" s="27">
        <v>4105000000</v>
      </c>
      <c r="M241" s="26">
        <f t="shared" si="12"/>
        <v>1</v>
      </c>
      <c r="N241" s="24" t="s">
        <v>645</v>
      </c>
      <c r="O241" s="24"/>
      <c r="P241" s="24" t="s">
        <v>502</v>
      </c>
      <c r="Q241" s="24"/>
      <c r="R241" s="24"/>
      <c r="S241" s="24"/>
      <c r="T241" s="28">
        <f t="shared" ca="1" si="10"/>
        <v>46059</v>
      </c>
      <c r="U241" s="24"/>
    </row>
    <row r="242" spans="1:21" s="35" customFormat="1" ht="45" x14ac:dyDescent="0.25">
      <c r="A242" s="24" t="s">
        <v>494</v>
      </c>
      <c r="B242" s="24" t="s">
        <v>485</v>
      </c>
      <c r="C242" s="24" t="s">
        <v>74</v>
      </c>
      <c r="D242" s="24" t="str">
        <f>IF($C242="","",INDEX([2]PLAN_DESARROLLO!$B:$B,MATCH($C242,[2]PLAN_DESARROLLO!$A:$A,0)))</f>
        <v>2024257770006</v>
      </c>
      <c r="E242" s="24" t="str">
        <f>IF($C242="","",INDEX([2]PLAN_DESARROLLO!$C:$C,MATCH($C242,[2]PLAN_DESARROLLO!$A:$A,0)))</f>
        <v>POR EL SUPATÁ SOÑADO AVANZAMOS JUNTOS EN LA LÍNEA ESTRATÉGICA SOCIAL</v>
      </c>
      <c r="F242" s="24" t="str">
        <f>IF($C242="","",INDEX([2]PLAN_DESARROLLO!$D:$D,MATCH($C242,[2]PLAN_DESARROLLO!$A:$A,0)))</f>
        <v>SALUD</v>
      </c>
      <c r="G242" s="24" t="str">
        <f>IF($C242="","",INDEX([2]PLAN_DESARROLLO!$E:$E,MATCH($C242,[2]PLAN_DESARROLLO!$A:$A,0)))</f>
        <v xml:space="preserve">Implementar las acciones correspondientes a la garantia de acceso salud descritas en la  Política Pública Municipal de Discapacidad  de los territorios rurales,  rurales dispersos y urbanos del municipio </v>
      </c>
      <c r="H242" s="25">
        <v>100</v>
      </c>
      <c r="I242" s="25">
        <v>80</v>
      </c>
      <c r="J242" s="26">
        <f t="shared" si="11"/>
        <v>0.8</v>
      </c>
      <c r="K242" s="27">
        <v>0</v>
      </c>
      <c r="L242" s="27">
        <v>0</v>
      </c>
      <c r="M242" s="26">
        <f t="shared" si="12"/>
        <v>0</v>
      </c>
      <c r="N242" s="24" t="s">
        <v>645</v>
      </c>
      <c r="O242" s="24"/>
      <c r="P242" s="24" t="s">
        <v>502</v>
      </c>
      <c r="Q242" s="24"/>
      <c r="R242" s="24"/>
      <c r="S242" s="24"/>
      <c r="T242" s="28">
        <f t="shared" ca="1" si="10"/>
        <v>46059</v>
      </c>
      <c r="U242" s="24"/>
    </row>
    <row r="243" spans="1:21" s="35" customFormat="1" ht="45" x14ac:dyDescent="0.25">
      <c r="A243" s="24" t="s">
        <v>498</v>
      </c>
      <c r="B243" s="24" t="s">
        <v>485</v>
      </c>
      <c r="C243" s="24" t="s">
        <v>74</v>
      </c>
      <c r="D243" s="24" t="str">
        <f>IF($C243="","",INDEX([2]PLAN_DESARROLLO!$B:$B,MATCH($C243,[2]PLAN_DESARROLLO!$A:$A,0)))</f>
        <v>2024257770006</v>
      </c>
      <c r="E243" s="24" t="str">
        <f>IF($C243="","",INDEX([2]PLAN_DESARROLLO!$C:$C,MATCH($C243,[2]PLAN_DESARROLLO!$A:$A,0)))</f>
        <v>POR EL SUPATÁ SOÑADO AVANZAMOS JUNTOS EN LA LÍNEA ESTRATÉGICA SOCIAL</v>
      </c>
      <c r="F243" s="24" t="str">
        <f>IF($C243="","",INDEX([2]PLAN_DESARROLLO!$D:$D,MATCH($C243,[2]PLAN_DESARROLLO!$A:$A,0)))</f>
        <v>SALUD</v>
      </c>
      <c r="G243" s="24" t="str">
        <f>IF($C243="","",INDEX([2]PLAN_DESARROLLO!$E:$E,MATCH($C243,[2]PLAN_DESARROLLO!$A:$A,0)))</f>
        <v xml:space="preserve">Implementar las acciones correspondientes a la garantia de acceso salud descritas en la  Política Pública Municipal de Discapacidad  de los territorios rurales,  rurales dispersos y urbanos del municipio </v>
      </c>
      <c r="H243" s="25">
        <v>100</v>
      </c>
      <c r="I243" s="25">
        <v>80</v>
      </c>
      <c r="J243" s="26">
        <f t="shared" si="11"/>
        <v>0.8</v>
      </c>
      <c r="K243" s="27">
        <v>0</v>
      </c>
      <c r="L243" s="27">
        <v>0</v>
      </c>
      <c r="M243" s="26">
        <f t="shared" si="12"/>
        <v>0</v>
      </c>
      <c r="N243" s="24" t="s">
        <v>645</v>
      </c>
      <c r="O243" s="24"/>
      <c r="P243" s="24" t="s">
        <v>502</v>
      </c>
      <c r="Q243" s="24"/>
      <c r="R243" s="24"/>
      <c r="S243" s="24"/>
      <c r="T243" s="28">
        <f t="shared" ca="1" si="10"/>
        <v>46059</v>
      </c>
      <c r="U243" s="24"/>
    </row>
    <row r="244" spans="1:21" s="35" customFormat="1" ht="30" x14ac:dyDescent="0.25">
      <c r="A244" s="24" t="s">
        <v>494</v>
      </c>
      <c r="B244" s="24" t="s">
        <v>485</v>
      </c>
      <c r="C244" s="24" t="s">
        <v>76</v>
      </c>
      <c r="D244" s="24" t="str">
        <f>IF($C244="","",INDEX([2]PLAN_DESARROLLO!$B:$B,MATCH($C244,[2]PLAN_DESARROLLO!$A:$A,0)))</f>
        <v>2024257770006</v>
      </c>
      <c r="E244" s="24" t="str">
        <f>IF($C244="","",INDEX([2]PLAN_DESARROLLO!$C:$C,MATCH($C244,[2]PLAN_DESARROLLO!$A:$A,0)))</f>
        <v>POR EL SUPATÁ SOÑADO AVANZAMOS JUNTOS EN LA LÍNEA ESTRATÉGICA SOCIAL</v>
      </c>
      <c r="F244" s="24" t="str">
        <f>IF($C244="","",INDEX([2]PLAN_DESARROLLO!$D:$D,MATCH($C244,[2]PLAN_DESARROLLO!$A:$A,0)))</f>
        <v>SALUD</v>
      </c>
      <c r="G244" s="24" t="str">
        <f>IF($C244="","",INDEX([2]PLAN_DESARROLLO!$E:$E,MATCH($C244,[2]PLAN_DESARROLLO!$A:$A,0)))</f>
        <v>Garantizar el desarrollo en un  100% de los  Sistemas de  información y vigilancia epidemiológica del municipio.</v>
      </c>
      <c r="H244" s="25">
        <v>4</v>
      </c>
      <c r="I244" s="25">
        <v>1</v>
      </c>
      <c r="J244" s="26">
        <f t="shared" si="11"/>
        <v>0.25</v>
      </c>
      <c r="K244" s="27">
        <v>35287000</v>
      </c>
      <c r="L244" s="27">
        <v>35287000</v>
      </c>
      <c r="M244" s="26">
        <f t="shared" si="12"/>
        <v>1</v>
      </c>
      <c r="N244" s="24" t="s">
        <v>645</v>
      </c>
      <c r="O244" s="24"/>
      <c r="P244" s="24" t="s">
        <v>502</v>
      </c>
      <c r="Q244" s="24"/>
      <c r="R244" s="24"/>
      <c r="S244" s="24"/>
      <c r="T244" s="28">
        <f t="shared" ca="1" si="10"/>
        <v>46059</v>
      </c>
      <c r="U244" s="24"/>
    </row>
    <row r="245" spans="1:21" s="35" customFormat="1" ht="30" x14ac:dyDescent="0.25">
      <c r="A245" s="24" t="s">
        <v>498</v>
      </c>
      <c r="B245" s="24" t="s">
        <v>485</v>
      </c>
      <c r="C245" s="24" t="s">
        <v>76</v>
      </c>
      <c r="D245" s="24" t="str">
        <f>IF($C245="","",INDEX([2]PLAN_DESARROLLO!$B:$B,MATCH($C245,[2]PLAN_DESARROLLO!$A:$A,0)))</f>
        <v>2024257770006</v>
      </c>
      <c r="E245" s="24" t="str">
        <f>IF($C245="","",INDEX([2]PLAN_DESARROLLO!$C:$C,MATCH($C245,[2]PLAN_DESARROLLO!$A:$A,0)))</f>
        <v>POR EL SUPATÁ SOÑADO AVANZAMOS JUNTOS EN LA LÍNEA ESTRATÉGICA SOCIAL</v>
      </c>
      <c r="F245" s="24" t="str">
        <f>IF($C245="","",INDEX([2]PLAN_DESARROLLO!$D:$D,MATCH($C245,[2]PLAN_DESARROLLO!$A:$A,0)))</f>
        <v>SALUD</v>
      </c>
      <c r="G245" s="24" t="str">
        <f>IF($C245="","",INDEX([2]PLAN_DESARROLLO!$E:$E,MATCH($C245,[2]PLAN_DESARROLLO!$A:$A,0)))</f>
        <v>Garantizar el desarrollo en un  100% de los  Sistemas de  información y vigilancia epidemiológica del municipio.</v>
      </c>
      <c r="H245" s="25">
        <v>4</v>
      </c>
      <c r="I245" s="25">
        <v>1</v>
      </c>
      <c r="J245" s="26">
        <f t="shared" si="11"/>
        <v>0.25</v>
      </c>
      <c r="K245" s="27">
        <v>38060000</v>
      </c>
      <c r="L245" s="27">
        <v>38060000</v>
      </c>
      <c r="M245" s="26">
        <f t="shared" si="12"/>
        <v>1</v>
      </c>
      <c r="N245" s="24" t="s">
        <v>645</v>
      </c>
      <c r="O245" s="24"/>
      <c r="P245" s="24" t="s">
        <v>502</v>
      </c>
      <c r="Q245" s="24"/>
      <c r="R245" s="24"/>
      <c r="S245" s="24"/>
      <c r="T245" s="28">
        <f t="shared" ca="1" si="10"/>
        <v>46059</v>
      </c>
      <c r="U245" s="24"/>
    </row>
    <row r="246" spans="1:21" s="35" customFormat="1" ht="30" x14ac:dyDescent="0.25">
      <c r="A246" s="24" t="s">
        <v>494</v>
      </c>
      <c r="B246" s="24" t="s">
        <v>485</v>
      </c>
      <c r="C246" s="24" t="s">
        <v>78</v>
      </c>
      <c r="D246" s="24" t="str">
        <f>IF($C246="","",INDEX([2]PLAN_DESARROLLO!$B:$B,MATCH($C246,[2]PLAN_DESARROLLO!$A:$A,0)))</f>
        <v>2024257770006</v>
      </c>
      <c r="E246" s="24" t="str">
        <f>IF($C246="","",INDEX([2]PLAN_DESARROLLO!$C:$C,MATCH($C246,[2]PLAN_DESARROLLO!$A:$A,0)))</f>
        <v>POR EL SUPATÁ SOÑADO AVANZAMOS JUNTOS EN LA LÍNEA ESTRATÉGICA SOCIAL</v>
      </c>
      <c r="F246" s="24" t="str">
        <f>IF($C246="","",INDEX([2]PLAN_DESARROLLO!$D:$D,MATCH($C246,[2]PLAN_DESARROLLO!$A:$A,0)))</f>
        <v>SALUD</v>
      </c>
      <c r="G246" s="24" t="str">
        <f>IF($C246="","",INDEX([2]PLAN_DESARROLLO!$E:$E,MATCH($C246,[2]PLAN_DESARROLLO!$A:$A,0)))</f>
        <v>Fortalecer el programa de seguridad de riesgos laborales y salud en el trabajo</v>
      </c>
      <c r="H246" s="25">
        <v>1</v>
      </c>
      <c r="I246" s="25">
        <v>1</v>
      </c>
      <c r="J246" s="26">
        <f t="shared" si="11"/>
        <v>1</v>
      </c>
      <c r="K246" s="27">
        <v>1000000</v>
      </c>
      <c r="L246" s="27">
        <v>1000000</v>
      </c>
      <c r="M246" s="26">
        <f t="shared" si="12"/>
        <v>1</v>
      </c>
      <c r="N246" s="24" t="s">
        <v>645</v>
      </c>
      <c r="O246" s="24"/>
      <c r="P246" s="24" t="s">
        <v>502</v>
      </c>
      <c r="Q246" s="24"/>
      <c r="R246" s="24"/>
      <c r="S246" s="24"/>
      <c r="T246" s="28">
        <f t="shared" ca="1" si="10"/>
        <v>46059</v>
      </c>
      <c r="U246" s="24"/>
    </row>
    <row r="247" spans="1:21" s="35" customFormat="1" ht="30" x14ac:dyDescent="0.25">
      <c r="A247" s="24" t="s">
        <v>498</v>
      </c>
      <c r="B247" s="24" t="s">
        <v>485</v>
      </c>
      <c r="C247" s="24" t="s">
        <v>78</v>
      </c>
      <c r="D247" s="24" t="str">
        <f>IF($C247="","",INDEX([2]PLAN_DESARROLLO!$B:$B,MATCH($C247,[2]PLAN_DESARROLLO!$A:$A,0)))</f>
        <v>2024257770006</v>
      </c>
      <c r="E247" s="24" t="str">
        <f>IF($C247="","",INDEX([2]PLAN_DESARROLLO!$C:$C,MATCH($C247,[2]PLAN_DESARROLLO!$A:$A,0)))</f>
        <v>POR EL SUPATÁ SOÑADO AVANZAMOS JUNTOS EN LA LÍNEA ESTRATÉGICA SOCIAL</v>
      </c>
      <c r="F247" s="24" t="str">
        <f>IF($C247="","",INDEX([2]PLAN_DESARROLLO!$D:$D,MATCH($C247,[2]PLAN_DESARROLLO!$A:$A,0)))</f>
        <v>SALUD</v>
      </c>
      <c r="G247" s="24" t="str">
        <f>IF($C247="","",INDEX([2]PLAN_DESARROLLO!$E:$E,MATCH($C247,[2]PLAN_DESARROLLO!$A:$A,0)))</f>
        <v>Fortalecer el programa de seguridad de riesgos laborales y salud en el trabajo</v>
      </c>
      <c r="H247" s="25">
        <v>1</v>
      </c>
      <c r="I247" s="25">
        <v>1</v>
      </c>
      <c r="J247" s="26">
        <f t="shared" si="11"/>
        <v>1</v>
      </c>
      <c r="K247" s="27">
        <v>23241000</v>
      </c>
      <c r="L247" s="27">
        <v>23241000</v>
      </c>
      <c r="M247" s="26">
        <f t="shared" si="12"/>
        <v>1</v>
      </c>
      <c r="N247" s="24" t="s">
        <v>645</v>
      </c>
      <c r="O247" s="24"/>
      <c r="P247" s="24" t="s">
        <v>502</v>
      </c>
      <c r="Q247" s="24"/>
      <c r="R247" s="24"/>
      <c r="S247" s="24"/>
      <c r="T247" s="28">
        <f t="shared" ca="1" si="10"/>
        <v>46059</v>
      </c>
      <c r="U247" s="24"/>
    </row>
    <row r="248" spans="1:21" s="35" customFormat="1" ht="30" x14ac:dyDescent="0.25">
      <c r="A248" s="24" t="s">
        <v>494</v>
      </c>
      <c r="B248" s="24" t="s">
        <v>485</v>
      </c>
      <c r="C248" s="24" t="s">
        <v>80</v>
      </c>
      <c r="D248" s="24" t="str">
        <f>IF($C248="","",INDEX([2]PLAN_DESARROLLO!$B:$B,MATCH($C248,[2]PLAN_DESARROLLO!$A:$A,0)))</f>
        <v>2024257770007</v>
      </c>
      <c r="E248" s="24" t="str">
        <f>IF($C248="","",INDEX([2]PLAN_DESARROLLO!$C:$C,MATCH($C248,[2]PLAN_DESARROLLO!$A:$A,0)))</f>
        <v>POR EL SUPATÁ SOÑADO AVANZAMOS JUNTOS EN LA LÍNEA ESTRATÉGICA SOCIAL</v>
      </c>
      <c r="F248" s="24" t="str">
        <f>IF($C248="","",INDEX([2]PLAN_DESARROLLO!$D:$D,MATCH($C248,[2]PLAN_DESARROLLO!$A:$A,0)))</f>
        <v>SALUD</v>
      </c>
      <c r="G248" s="24" t="str">
        <f>IF($C248="","",INDEX([2]PLAN_DESARROLLO!$E:$E,MATCH($C248,[2]PLAN_DESARROLLO!$A:$A,0)))</f>
        <v>Gestionar un centro de atención primario en salud rural</v>
      </c>
      <c r="H248" s="25">
        <v>100</v>
      </c>
      <c r="I248" s="25">
        <v>100</v>
      </c>
      <c r="J248" s="26">
        <f t="shared" si="11"/>
        <v>1</v>
      </c>
      <c r="K248" s="27">
        <v>0</v>
      </c>
      <c r="L248" s="27">
        <v>0</v>
      </c>
      <c r="M248" s="26">
        <f t="shared" si="12"/>
        <v>0</v>
      </c>
      <c r="N248" s="24" t="s">
        <v>645</v>
      </c>
      <c r="O248" s="24"/>
      <c r="P248" s="24" t="s">
        <v>502</v>
      </c>
      <c r="Q248" s="24"/>
      <c r="R248" s="24"/>
      <c r="S248" s="24"/>
      <c r="T248" s="28">
        <f t="shared" ca="1" si="10"/>
        <v>46059</v>
      </c>
      <c r="U248" s="24"/>
    </row>
    <row r="249" spans="1:21" s="35" customFormat="1" ht="30" x14ac:dyDescent="0.25">
      <c r="A249" s="24" t="s">
        <v>498</v>
      </c>
      <c r="B249" s="24" t="s">
        <v>485</v>
      </c>
      <c r="C249" s="24" t="s">
        <v>80</v>
      </c>
      <c r="D249" s="24" t="str">
        <f>IF($C249="","",INDEX([2]PLAN_DESARROLLO!$B:$B,MATCH($C249,[2]PLAN_DESARROLLO!$A:$A,0)))</f>
        <v>2024257770007</v>
      </c>
      <c r="E249" s="24" t="str">
        <f>IF($C249="","",INDEX([2]PLAN_DESARROLLO!$C:$C,MATCH($C249,[2]PLAN_DESARROLLO!$A:$A,0)))</f>
        <v>POR EL SUPATÁ SOÑADO AVANZAMOS JUNTOS EN LA LÍNEA ESTRATÉGICA SOCIAL</v>
      </c>
      <c r="F249" s="24" t="str">
        <f>IF($C249="","",INDEX([2]PLAN_DESARROLLO!$D:$D,MATCH($C249,[2]PLAN_DESARROLLO!$A:$A,0)))</f>
        <v>SALUD</v>
      </c>
      <c r="G249" s="24" t="str">
        <f>IF($C249="","",INDEX([2]PLAN_DESARROLLO!$E:$E,MATCH($C249,[2]PLAN_DESARROLLO!$A:$A,0)))</f>
        <v>Gestionar un centro de atención primario en salud rural</v>
      </c>
      <c r="H249" s="25">
        <v>100</v>
      </c>
      <c r="I249" s="25">
        <v>100</v>
      </c>
      <c r="J249" s="26">
        <f t="shared" si="11"/>
        <v>1</v>
      </c>
      <c r="K249" s="27">
        <v>0</v>
      </c>
      <c r="L249" s="27">
        <v>0</v>
      </c>
      <c r="M249" s="26">
        <f t="shared" si="12"/>
        <v>0</v>
      </c>
      <c r="N249" s="24" t="s">
        <v>645</v>
      </c>
      <c r="O249" s="24"/>
      <c r="P249" s="24" t="s">
        <v>502</v>
      </c>
      <c r="Q249" s="24"/>
      <c r="R249" s="24"/>
      <c r="S249" s="24"/>
      <c r="T249" s="28">
        <f t="shared" ca="1" si="10"/>
        <v>46059</v>
      </c>
      <c r="U249" s="24"/>
    </row>
    <row r="250" spans="1:21" s="35" customFormat="1" ht="30" x14ac:dyDescent="0.25">
      <c r="A250" s="24" t="s">
        <v>494</v>
      </c>
      <c r="B250" s="24" t="s">
        <v>485</v>
      </c>
      <c r="C250" s="24" t="s">
        <v>83</v>
      </c>
      <c r="D250" s="24" t="str">
        <f>IF($C250="","",INDEX([2]PLAN_DESARROLLO!$B:$B,MATCH($C250,[2]PLAN_DESARROLLO!$A:$A,0)))</f>
        <v>2024257770007</v>
      </c>
      <c r="E250" s="24" t="str">
        <f>IF($C250="","",INDEX([2]PLAN_DESARROLLO!$C:$C,MATCH($C250,[2]PLAN_DESARROLLO!$A:$A,0)))</f>
        <v>POR EL SUPATÁ SOÑADO AVANZAMOS JUNTOS EN LA LÍNEA ESTRATÉGICA SOCIAL</v>
      </c>
      <c r="F250" s="24" t="str">
        <f>IF($C250="","",INDEX([2]PLAN_DESARROLLO!$D:$D,MATCH($C250,[2]PLAN_DESARROLLO!$A:$A,0)))</f>
        <v>SALUD</v>
      </c>
      <c r="G250" s="24" t="str">
        <f>IF($C250="","",INDEX([2]PLAN_DESARROLLO!$E:$E,MATCH($C250,[2]PLAN_DESARROLLO!$A:$A,0)))</f>
        <v>Garantizar la operatividad de los programas en salud</v>
      </c>
      <c r="H250" s="25">
        <v>100</v>
      </c>
      <c r="I250" s="25">
        <v>100</v>
      </c>
      <c r="J250" s="26">
        <f t="shared" si="11"/>
        <v>1</v>
      </c>
      <c r="K250" s="27">
        <v>47735600</v>
      </c>
      <c r="L250" s="27">
        <v>47735600</v>
      </c>
      <c r="M250" s="26">
        <f t="shared" si="12"/>
        <v>1</v>
      </c>
      <c r="N250" s="24" t="s">
        <v>645</v>
      </c>
      <c r="O250" s="24"/>
      <c r="P250" s="24" t="s">
        <v>502</v>
      </c>
      <c r="Q250" s="24"/>
      <c r="R250" s="24"/>
      <c r="S250" s="24"/>
      <c r="T250" s="28">
        <f t="shared" ca="1" si="10"/>
        <v>46059</v>
      </c>
      <c r="U250" s="24"/>
    </row>
    <row r="251" spans="1:21" s="35" customFormat="1" ht="30" x14ac:dyDescent="0.25">
      <c r="A251" s="24" t="s">
        <v>498</v>
      </c>
      <c r="B251" s="24" t="s">
        <v>485</v>
      </c>
      <c r="C251" s="24" t="s">
        <v>83</v>
      </c>
      <c r="D251" s="24" t="str">
        <f>IF($C251="","",INDEX([2]PLAN_DESARROLLO!$B:$B,MATCH($C251,[2]PLAN_DESARROLLO!$A:$A,0)))</f>
        <v>2024257770007</v>
      </c>
      <c r="E251" s="24" t="str">
        <f>IF($C251="","",INDEX([2]PLAN_DESARROLLO!$C:$C,MATCH($C251,[2]PLAN_DESARROLLO!$A:$A,0)))</f>
        <v>POR EL SUPATÁ SOÑADO AVANZAMOS JUNTOS EN LA LÍNEA ESTRATÉGICA SOCIAL</v>
      </c>
      <c r="F251" s="24" t="str">
        <f>IF($C251="","",INDEX([2]PLAN_DESARROLLO!$D:$D,MATCH($C251,[2]PLAN_DESARROLLO!$A:$A,0)))</f>
        <v>SALUD</v>
      </c>
      <c r="G251" s="24" t="str">
        <f>IF($C251="","",INDEX([2]PLAN_DESARROLLO!$E:$E,MATCH($C251,[2]PLAN_DESARROLLO!$A:$A,0)))</f>
        <v>Garantizar la operatividad de los programas en salud</v>
      </c>
      <c r="H251" s="25">
        <v>100</v>
      </c>
      <c r="I251" s="25">
        <v>100</v>
      </c>
      <c r="J251" s="26">
        <f t="shared" si="11"/>
        <v>1</v>
      </c>
      <c r="K251" s="27">
        <v>68950250</v>
      </c>
      <c r="L251" s="27">
        <v>68950250</v>
      </c>
      <c r="M251" s="26">
        <f t="shared" si="12"/>
        <v>1</v>
      </c>
      <c r="N251" s="24" t="s">
        <v>645</v>
      </c>
      <c r="O251" s="24"/>
      <c r="P251" s="24" t="s">
        <v>502</v>
      </c>
      <c r="Q251" s="24"/>
      <c r="R251" s="24"/>
      <c r="S251" s="24"/>
      <c r="T251" s="28">
        <f t="shared" ca="1" si="10"/>
        <v>46059</v>
      </c>
      <c r="U251" s="24"/>
    </row>
    <row r="252" spans="1:21" s="35" customFormat="1" ht="30" x14ac:dyDescent="0.25">
      <c r="A252" s="24" t="s">
        <v>494</v>
      </c>
      <c r="B252" s="24" t="s">
        <v>485</v>
      </c>
      <c r="C252" s="24" t="s">
        <v>85</v>
      </c>
      <c r="D252" s="24" t="str">
        <f>IF($C252="","",INDEX([2]PLAN_DESARROLLO!$B:$B,MATCH($C252,[2]PLAN_DESARROLLO!$A:$A,0)))</f>
        <v>2024257770007</v>
      </c>
      <c r="E252" s="24" t="str">
        <f>IF($C252="","",INDEX([2]PLAN_DESARROLLO!$C:$C,MATCH($C252,[2]PLAN_DESARROLLO!$A:$A,0)))</f>
        <v>POR EL SUPATÁ SOÑADO AVANZAMOS JUNTOS EN LA LÍNEA ESTRATÉGICA SOCIAL</v>
      </c>
      <c r="F252" s="24" t="str">
        <f>IF($C252="","",INDEX([2]PLAN_DESARROLLO!$D:$D,MATCH($C252,[2]PLAN_DESARROLLO!$A:$A,0)))</f>
        <v>SALUD</v>
      </c>
      <c r="G252" s="24" t="str">
        <f>IF($C252="","",INDEX([2]PLAN_DESARROLLO!$E:$E,MATCH($C252,[2]PLAN_DESARROLLO!$A:$A,0)))</f>
        <v>Garantizar el acceso a la salud para población vinculada al régimen  Subsidiado</v>
      </c>
      <c r="H252" s="25">
        <v>100</v>
      </c>
      <c r="I252" s="25">
        <v>100</v>
      </c>
      <c r="J252" s="26">
        <f t="shared" si="11"/>
        <v>1</v>
      </c>
      <c r="K252" s="27">
        <v>0</v>
      </c>
      <c r="L252" s="27">
        <v>0</v>
      </c>
      <c r="M252" s="26">
        <f t="shared" si="12"/>
        <v>0</v>
      </c>
      <c r="N252" s="24" t="s">
        <v>645</v>
      </c>
      <c r="O252" s="24"/>
      <c r="P252" s="24" t="s">
        <v>502</v>
      </c>
      <c r="Q252" s="24"/>
      <c r="R252" s="24"/>
      <c r="S252" s="24"/>
      <c r="T252" s="28">
        <f t="shared" ca="1" si="10"/>
        <v>46059</v>
      </c>
      <c r="U252" s="24"/>
    </row>
    <row r="253" spans="1:21" s="35" customFormat="1" ht="30" x14ac:dyDescent="0.25">
      <c r="A253" s="24" t="s">
        <v>498</v>
      </c>
      <c r="B253" s="24" t="s">
        <v>485</v>
      </c>
      <c r="C253" s="24" t="s">
        <v>85</v>
      </c>
      <c r="D253" s="24" t="str">
        <f>IF($C253="","",INDEX([2]PLAN_DESARROLLO!$B:$B,MATCH($C253,[2]PLAN_DESARROLLO!$A:$A,0)))</f>
        <v>2024257770007</v>
      </c>
      <c r="E253" s="24" t="str">
        <f>IF($C253="","",INDEX([2]PLAN_DESARROLLO!$C:$C,MATCH($C253,[2]PLAN_DESARROLLO!$A:$A,0)))</f>
        <v>POR EL SUPATÁ SOÑADO AVANZAMOS JUNTOS EN LA LÍNEA ESTRATÉGICA SOCIAL</v>
      </c>
      <c r="F253" s="24" t="str">
        <f>IF($C253="","",INDEX([2]PLAN_DESARROLLO!$D:$D,MATCH($C253,[2]PLAN_DESARROLLO!$A:$A,0)))</f>
        <v>SALUD</v>
      </c>
      <c r="G253" s="24" t="str">
        <f>IF($C253="","",INDEX([2]PLAN_DESARROLLO!$E:$E,MATCH($C253,[2]PLAN_DESARROLLO!$A:$A,0)))</f>
        <v>Garantizar el acceso a la salud para población vinculada al régimen  Subsidiado</v>
      </c>
      <c r="H253" s="25">
        <v>100</v>
      </c>
      <c r="I253" s="25">
        <v>100</v>
      </c>
      <c r="J253" s="26">
        <f t="shared" si="11"/>
        <v>1</v>
      </c>
      <c r="K253" s="27">
        <v>0</v>
      </c>
      <c r="L253" s="27">
        <v>0</v>
      </c>
      <c r="M253" s="26">
        <f t="shared" si="12"/>
        <v>0</v>
      </c>
      <c r="N253" s="24" t="s">
        <v>645</v>
      </c>
      <c r="O253" s="24"/>
      <c r="P253" s="24" t="s">
        <v>502</v>
      </c>
      <c r="Q253" s="24"/>
      <c r="R253" s="24"/>
      <c r="S253" s="24"/>
      <c r="T253" s="28">
        <f t="shared" ca="1" si="10"/>
        <v>46059</v>
      </c>
      <c r="U253" s="24"/>
    </row>
    <row r="254" spans="1:21" s="35" customFormat="1" ht="30" x14ac:dyDescent="0.25">
      <c r="A254" s="24" t="s">
        <v>494</v>
      </c>
      <c r="B254" s="24" t="s">
        <v>485</v>
      </c>
      <c r="C254" s="24" t="s">
        <v>87</v>
      </c>
      <c r="D254" s="24" t="str">
        <f>IF($C254="","",INDEX([2]PLAN_DESARROLLO!$B:$B,MATCH($C254,[2]PLAN_DESARROLLO!$A:$A,0)))</f>
        <v>202500000008110</v>
      </c>
      <c r="E254" s="24" t="str">
        <f>IF($C254="","",INDEX([2]PLAN_DESARROLLO!$C:$C,MATCH($C254,[2]PLAN_DESARROLLO!$A:$A,0)))</f>
        <v>POR EL SUPATÁ SOÑADO AVANZAMOS JUNTOS EN LA LÍNEA ESTRATÉGICA SOCIAL</v>
      </c>
      <c r="F254" s="24" t="str">
        <f>IF($C254="","",INDEX([2]PLAN_DESARROLLO!$D:$D,MATCH($C254,[2]PLAN_DESARROLLO!$A:$A,0)))</f>
        <v>SALUD</v>
      </c>
      <c r="G254" s="24" t="str">
        <f>IF($C254="","",INDEX([2]PLAN_DESARROLLO!$E:$E,MATCH($C254,[2]PLAN_DESARROLLO!$A:$A,0)))</f>
        <v xml:space="preserve">Garantizar  el seguimiento al 100% de las EPS e IPS Presentes en el municipio, para la garantía de la calidad de los servicios de salud </v>
      </c>
      <c r="H254" s="25">
        <v>100</v>
      </c>
      <c r="I254" s="25">
        <v>100</v>
      </c>
      <c r="J254" s="26">
        <f t="shared" si="11"/>
        <v>1</v>
      </c>
      <c r="K254" s="27">
        <v>33166350</v>
      </c>
      <c r="L254" s="27">
        <v>33166350</v>
      </c>
      <c r="M254" s="26">
        <f t="shared" si="12"/>
        <v>1</v>
      </c>
      <c r="N254" s="24" t="s">
        <v>645</v>
      </c>
      <c r="O254" s="24"/>
      <c r="P254" s="24" t="s">
        <v>502</v>
      </c>
      <c r="Q254" s="24"/>
      <c r="R254" s="24"/>
      <c r="S254" s="24"/>
      <c r="T254" s="28">
        <f t="shared" ca="1" si="10"/>
        <v>46059</v>
      </c>
      <c r="U254" s="24"/>
    </row>
    <row r="255" spans="1:21" s="35" customFormat="1" ht="30" x14ac:dyDescent="0.25">
      <c r="A255" s="24" t="s">
        <v>498</v>
      </c>
      <c r="B255" s="24" t="s">
        <v>485</v>
      </c>
      <c r="C255" s="24" t="s">
        <v>87</v>
      </c>
      <c r="D255" s="24" t="str">
        <f>IF($C255="","",INDEX([2]PLAN_DESARROLLO!$B:$B,MATCH($C255,[2]PLAN_DESARROLLO!$A:$A,0)))</f>
        <v>202500000008110</v>
      </c>
      <c r="E255" s="24" t="str">
        <f>IF($C255="","",INDEX([2]PLAN_DESARROLLO!$C:$C,MATCH($C255,[2]PLAN_DESARROLLO!$A:$A,0)))</f>
        <v>POR EL SUPATÁ SOÑADO AVANZAMOS JUNTOS EN LA LÍNEA ESTRATÉGICA SOCIAL</v>
      </c>
      <c r="F255" s="24" t="str">
        <f>IF($C255="","",INDEX([2]PLAN_DESARROLLO!$D:$D,MATCH($C255,[2]PLAN_DESARROLLO!$A:$A,0)))</f>
        <v>SALUD</v>
      </c>
      <c r="G255" s="24" t="str">
        <f>IF($C255="","",INDEX([2]PLAN_DESARROLLO!$E:$E,MATCH($C255,[2]PLAN_DESARROLLO!$A:$A,0)))</f>
        <v xml:space="preserve">Garantizar  el seguimiento al 100% de las EPS e IPS Presentes en el municipio, para la garantía de la calidad de los servicios de salud </v>
      </c>
      <c r="H255" s="25">
        <v>100</v>
      </c>
      <c r="I255" s="25">
        <v>100</v>
      </c>
      <c r="J255" s="26">
        <f t="shared" si="11"/>
        <v>1</v>
      </c>
      <c r="K255" s="27">
        <v>42310000</v>
      </c>
      <c r="L255" s="27">
        <v>42310000</v>
      </c>
      <c r="M255" s="26">
        <f t="shared" si="12"/>
        <v>1</v>
      </c>
      <c r="N255" s="24" t="s">
        <v>645</v>
      </c>
      <c r="O255" s="24"/>
      <c r="P255" s="24" t="s">
        <v>502</v>
      </c>
      <c r="Q255" s="24"/>
      <c r="R255" s="24"/>
      <c r="S255" s="24"/>
      <c r="T255" s="28">
        <f t="shared" ca="1" si="10"/>
        <v>46059</v>
      </c>
      <c r="U255" s="24"/>
    </row>
    <row r="256" spans="1:21" s="35" customFormat="1" ht="30" x14ac:dyDescent="0.25">
      <c r="A256" s="24" t="s">
        <v>494</v>
      </c>
      <c r="B256" s="24" t="s">
        <v>485</v>
      </c>
      <c r="C256" s="24" t="s">
        <v>90</v>
      </c>
      <c r="D256" s="24" t="str">
        <f>IF($C256="","",INDEX([2]PLAN_DESARROLLO!$B:$B,MATCH($C256,[2]PLAN_DESARROLLO!$A:$A,0)))</f>
        <v>2024257770009</v>
      </c>
      <c r="E256" s="24" t="str">
        <f>IF($C256="","",INDEX([2]PLAN_DESARROLLO!$C:$C,MATCH($C256,[2]PLAN_DESARROLLO!$A:$A,0)))</f>
        <v>POR EL SUPATÁ SOÑADO AVANZAMOS JUNTOS EN LA LÍNEA ESTRATÉGICA SOCIAL</v>
      </c>
      <c r="F256" s="24" t="str">
        <f>IF($C256="","",INDEX([2]PLAN_DESARROLLO!$D:$D,MATCH($C256,[2]PLAN_DESARROLLO!$A:$A,0)))</f>
        <v>CULTURA</v>
      </c>
      <c r="G256" s="24" t="str">
        <f>IF($C256="","",INDEX([2]PLAN_DESARROLLO!$E:$E,MATCH($C256,[2]PLAN_DESARROLLO!$A:$A,0)))</f>
        <v>Mantener las 3 escuelas de formacion cultural durante el cuatrenio</v>
      </c>
      <c r="H256" s="25">
        <v>12</v>
      </c>
      <c r="I256" s="25">
        <v>3</v>
      </c>
      <c r="J256" s="26">
        <f t="shared" si="11"/>
        <v>0.25</v>
      </c>
      <c r="K256" s="27">
        <v>61500000</v>
      </c>
      <c r="L256" s="27">
        <v>61500000</v>
      </c>
      <c r="M256" s="26">
        <f t="shared" si="12"/>
        <v>1</v>
      </c>
      <c r="N256" s="24" t="s">
        <v>647</v>
      </c>
      <c r="O256" s="24"/>
      <c r="P256" s="24" t="s">
        <v>502</v>
      </c>
      <c r="Q256" s="24" t="s">
        <v>497</v>
      </c>
      <c r="R256" s="24"/>
      <c r="S256" s="24"/>
      <c r="T256" s="28">
        <f t="shared" ref="T256:T319" ca="1" si="13">IF($A256="","",TODAY())</f>
        <v>46059</v>
      </c>
      <c r="U256" s="24"/>
    </row>
    <row r="257" spans="1:21" s="35" customFormat="1" ht="30" x14ac:dyDescent="0.25">
      <c r="A257" s="24" t="s">
        <v>498</v>
      </c>
      <c r="B257" s="24" t="s">
        <v>485</v>
      </c>
      <c r="C257" s="24" t="s">
        <v>90</v>
      </c>
      <c r="D257" s="24" t="str">
        <f>IF($C257="","",INDEX([2]PLAN_DESARROLLO!$B:$B,MATCH($C257,[2]PLAN_DESARROLLO!$A:$A,0)))</f>
        <v>2024257770009</v>
      </c>
      <c r="E257" s="24" t="str">
        <f>IF($C257="","",INDEX([2]PLAN_DESARROLLO!$C:$C,MATCH($C257,[2]PLAN_DESARROLLO!$A:$A,0)))</f>
        <v>POR EL SUPATÁ SOÑADO AVANZAMOS JUNTOS EN LA LÍNEA ESTRATÉGICA SOCIAL</v>
      </c>
      <c r="F257" s="24" t="str">
        <f>IF($C257="","",INDEX([2]PLAN_DESARROLLO!$D:$D,MATCH($C257,[2]PLAN_DESARROLLO!$A:$A,0)))</f>
        <v>CULTURA</v>
      </c>
      <c r="G257" s="24" t="str">
        <f>IF($C257="","",INDEX([2]PLAN_DESARROLLO!$E:$E,MATCH($C257,[2]PLAN_DESARROLLO!$A:$A,0)))</f>
        <v>Mantener las 3 escuelas de formacion cultural durante el cuatrenio</v>
      </c>
      <c r="H257" s="25">
        <v>12</v>
      </c>
      <c r="I257" s="25">
        <v>3</v>
      </c>
      <c r="J257" s="26">
        <f t="shared" si="11"/>
        <v>0.25</v>
      </c>
      <c r="K257" s="27">
        <v>72580000</v>
      </c>
      <c r="L257" s="27">
        <v>72580000</v>
      </c>
      <c r="M257" s="26">
        <f t="shared" si="12"/>
        <v>1</v>
      </c>
      <c r="N257" s="24" t="s">
        <v>647</v>
      </c>
      <c r="O257" s="24"/>
      <c r="P257" s="24" t="s">
        <v>502</v>
      </c>
      <c r="Q257" s="24" t="s">
        <v>497</v>
      </c>
      <c r="R257" s="24"/>
      <c r="S257" s="24"/>
      <c r="T257" s="28">
        <f t="shared" ca="1" si="13"/>
        <v>46059</v>
      </c>
      <c r="U257" s="24"/>
    </row>
    <row r="258" spans="1:21" s="35" customFormat="1" ht="30" x14ac:dyDescent="0.25">
      <c r="A258" s="24" t="s">
        <v>494</v>
      </c>
      <c r="B258" s="24" t="s">
        <v>485</v>
      </c>
      <c r="C258" s="24" t="s">
        <v>94</v>
      </c>
      <c r="D258" s="24" t="str">
        <f>IF($C258="","",INDEX([2]PLAN_DESARROLLO!$B:$B,MATCH($C258,[2]PLAN_DESARROLLO!$A:$A,0)))</f>
        <v>2024257770009</v>
      </c>
      <c r="E258" s="24" t="str">
        <f>IF($C258="","",INDEX([2]PLAN_DESARROLLO!$C:$C,MATCH($C258,[2]PLAN_DESARROLLO!$A:$A,0)))</f>
        <v>POR EL SUPATÁ SOÑADO AVANZAMOS JUNTOS EN LA LÍNEA ESTRATÉGICA SOCIAL</v>
      </c>
      <c r="F258" s="24" t="str">
        <f>IF($C258="","",INDEX([2]PLAN_DESARROLLO!$D:$D,MATCH($C258,[2]PLAN_DESARROLLO!$A:$A,0)))</f>
        <v>CULTURA</v>
      </c>
      <c r="G258" s="24" t="str">
        <f>IF($C258="","",INDEX([2]PLAN_DESARROLLO!$E:$E,MATCH($C258,[2]PLAN_DESARROLLO!$A:$A,0)))</f>
        <v>Realizar (4) Dotaciones a las escuelas de formación cultural</v>
      </c>
      <c r="H258" s="25">
        <v>4</v>
      </c>
      <c r="I258" s="25">
        <v>0</v>
      </c>
      <c r="J258" s="26">
        <f t="shared" si="11"/>
        <v>0</v>
      </c>
      <c r="K258" s="27">
        <v>0</v>
      </c>
      <c r="L258" s="27">
        <v>0</v>
      </c>
      <c r="M258" s="26">
        <f t="shared" si="12"/>
        <v>0</v>
      </c>
      <c r="N258" s="24"/>
      <c r="O258" s="24"/>
      <c r="P258" s="24"/>
      <c r="Q258" s="24"/>
      <c r="R258" s="24"/>
      <c r="S258" s="24"/>
      <c r="T258" s="28">
        <f t="shared" ca="1" si="13"/>
        <v>46059</v>
      </c>
      <c r="U258" s="24"/>
    </row>
    <row r="259" spans="1:21" s="35" customFormat="1" ht="45" x14ac:dyDescent="0.25">
      <c r="A259" s="24" t="s">
        <v>498</v>
      </c>
      <c r="B259" s="24" t="s">
        <v>485</v>
      </c>
      <c r="C259" s="24" t="s">
        <v>94</v>
      </c>
      <c r="D259" s="24" t="str">
        <f>IF($C259="","",INDEX([2]PLAN_DESARROLLO!$B:$B,MATCH($C259,[2]PLAN_DESARROLLO!$A:$A,0)))</f>
        <v>2024257770009</v>
      </c>
      <c r="E259" s="24" t="str">
        <f>IF($C259="","",INDEX([2]PLAN_DESARROLLO!$C:$C,MATCH($C259,[2]PLAN_DESARROLLO!$A:$A,0)))</f>
        <v>POR EL SUPATÁ SOÑADO AVANZAMOS JUNTOS EN LA LÍNEA ESTRATÉGICA SOCIAL</v>
      </c>
      <c r="F259" s="24" t="str">
        <f>IF($C259="","",INDEX([2]PLAN_DESARROLLO!$D:$D,MATCH($C259,[2]PLAN_DESARROLLO!$A:$A,0)))</f>
        <v>CULTURA</v>
      </c>
      <c r="G259" s="24" t="str">
        <f>IF($C259="","",INDEX([2]PLAN_DESARROLLO!$E:$E,MATCH($C259,[2]PLAN_DESARROLLO!$A:$A,0)))</f>
        <v>Realizar (4) Dotaciones a las escuelas de formación cultural</v>
      </c>
      <c r="H259" s="25">
        <v>4</v>
      </c>
      <c r="I259" s="25">
        <v>1</v>
      </c>
      <c r="J259" s="26">
        <f t="shared" si="11"/>
        <v>0.25</v>
      </c>
      <c r="K259" s="27">
        <v>37590000</v>
      </c>
      <c r="L259" s="27">
        <v>37590000</v>
      </c>
      <c r="M259" s="26">
        <f t="shared" si="12"/>
        <v>1</v>
      </c>
      <c r="N259" s="24" t="s">
        <v>648</v>
      </c>
      <c r="O259" s="24"/>
      <c r="P259" s="24" t="s">
        <v>502</v>
      </c>
      <c r="Q259" s="24" t="s">
        <v>497</v>
      </c>
      <c r="R259" s="24"/>
      <c r="S259" s="24"/>
      <c r="T259" s="28">
        <f t="shared" ca="1" si="13"/>
        <v>46059</v>
      </c>
      <c r="U259" s="24"/>
    </row>
    <row r="260" spans="1:21" s="35" customFormat="1" ht="30" x14ac:dyDescent="0.25">
      <c r="A260" s="24" t="s">
        <v>494</v>
      </c>
      <c r="B260" s="24" t="s">
        <v>485</v>
      </c>
      <c r="C260" s="24" t="s">
        <v>96</v>
      </c>
      <c r="D260" s="24" t="str">
        <f>IF($C260="","",INDEX([2]PLAN_DESARROLLO!$B:$B,MATCH($C260,[2]PLAN_DESARROLLO!$A:$A,0)))</f>
        <v>2024257770009</v>
      </c>
      <c r="E260" s="24" t="str">
        <f>IF($C260="","",INDEX([2]PLAN_DESARROLLO!$C:$C,MATCH($C260,[2]PLAN_DESARROLLO!$A:$A,0)))</f>
        <v>POR EL SUPATÁ SOÑADO AVANZAMOS JUNTOS EN LA LÍNEA ESTRATÉGICA SOCIAL</v>
      </c>
      <c r="F260" s="24" t="str">
        <f>IF($C260="","",INDEX([2]PLAN_DESARROLLO!$D:$D,MATCH($C260,[2]PLAN_DESARROLLO!$A:$A,0)))</f>
        <v>CULTURA</v>
      </c>
      <c r="G260" s="24" t="str">
        <f>IF($C260="","",INDEX([2]PLAN_DESARROLLO!$E:$E,MATCH($C260,[2]PLAN_DESARROLLO!$A:$A,0)))</f>
        <v>Organizar 4 eventos artísticos y culturales anualmente</v>
      </c>
      <c r="H260" s="25">
        <v>16</v>
      </c>
      <c r="I260" s="25">
        <v>4</v>
      </c>
      <c r="J260" s="26">
        <f t="shared" si="11"/>
        <v>0.25</v>
      </c>
      <c r="K260" s="27">
        <v>44000000</v>
      </c>
      <c r="L260" s="27">
        <v>44000000</v>
      </c>
      <c r="M260" s="26">
        <f t="shared" si="12"/>
        <v>1</v>
      </c>
      <c r="N260" s="24" t="s">
        <v>649</v>
      </c>
      <c r="O260" s="24"/>
      <c r="P260" s="24" t="s">
        <v>502</v>
      </c>
      <c r="Q260" s="24" t="s">
        <v>497</v>
      </c>
      <c r="R260" s="24"/>
      <c r="S260" s="24"/>
      <c r="T260" s="28">
        <f t="shared" ca="1" si="13"/>
        <v>46059</v>
      </c>
      <c r="U260" s="24"/>
    </row>
    <row r="261" spans="1:21" s="35" customFormat="1" ht="30" x14ac:dyDescent="0.25">
      <c r="A261" s="24" t="s">
        <v>498</v>
      </c>
      <c r="B261" s="24" t="s">
        <v>485</v>
      </c>
      <c r="C261" s="24" t="s">
        <v>96</v>
      </c>
      <c r="D261" s="24" t="str">
        <f>IF($C261="","",INDEX([2]PLAN_DESARROLLO!$B:$B,MATCH($C261,[2]PLAN_DESARROLLO!$A:$A,0)))</f>
        <v>2024257770009</v>
      </c>
      <c r="E261" s="24" t="str">
        <f>IF($C261="","",INDEX([2]PLAN_DESARROLLO!$C:$C,MATCH($C261,[2]PLAN_DESARROLLO!$A:$A,0)))</f>
        <v>POR EL SUPATÁ SOÑADO AVANZAMOS JUNTOS EN LA LÍNEA ESTRATÉGICA SOCIAL</v>
      </c>
      <c r="F261" s="24" t="str">
        <f>IF($C261="","",INDEX([2]PLAN_DESARROLLO!$D:$D,MATCH($C261,[2]PLAN_DESARROLLO!$A:$A,0)))</f>
        <v>CULTURA</v>
      </c>
      <c r="G261" s="24" t="str">
        <f>IF($C261="","",INDEX([2]PLAN_DESARROLLO!$E:$E,MATCH($C261,[2]PLAN_DESARROLLO!$A:$A,0)))</f>
        <v>Organizar 4 eventos artísticos y culturales anualmente</v>
      </c>
      <c r="H261" s="25">
        <v>16</v>
      </c>
      <c r="I261" s="25">
        <v>4</v>
      </c>
      <c r="J261" s="26">
        <f t="shared" si="11"/>
        <v>0.25</v>
      </c>
      <c r="K261" s="27">
        <v>256979784</v>
      </c>
      <c r="L261" s="27">
        <v>256979784</v>
      </c>
      <c r="M261" s="26">
        <f t="shared" si="12"/>
        <v>1</v>
      </c>
      <c r="N261" s="24" t="s">
        <v>650</v>
      </c>
      <c r="O261" s="24"/>
      <c r="P261" s="24" t="s">
        <v>502</v>
      </c>
      <c r="Q261" s="24" t="s">
        <v>497</v>
      </c>
      <c r="R261" s="24"/>
      <c r="S261" s="24"/>
      <c r="T261" s="28">
        <f t="shared" ca="1" si="13"/>
        <v>46059</v>
      </c>
      <c r="U261" s="24"/>
    </row>
    <row r="262" spans="1:21" s="35" customFormat="1" ht="45" x14ac:dyDescent="0.25">
      <c r="A262" s="24" t="s">
        <v>494</v>
      </c>
      <c r="B262" s="24" t="s">
        <v>485</v>
      </c>
      <c r="C262" s="24" t="s">
        <v>98</v>
      </c>
      <c r="D262" s="24" t="str">
        <f>IF($C262="","",INDEX([2]PLAN_DESARROLLO!$B:$B,MATCH($C262,[2]PLAN_DESARROLLO!$A:$A,0)))</f>
        <v>2024257770009</v>
      </c>
      <c r="E262" s="24" t="str">
        <f>IF($C262="","",INDEX([2]PLAN_DESARROLLO!$C:$C,MATCH($C262,[2]PLAN_DESARROLLO!$A:$A,0)))</f>
        <v>POR EL SUPATÁ SOÑADO AVANZAMOS JUNTOS EN LA LÍNEA ESTRATÉGICA SOCIAL</v>
      </c>
      <c r="F262" s="24" t="str">
        <f>IF($C262="","",INDEX([2]PLAN_DESARROLLO!$D:$D,MATCH($C262,[2]PLAN_DESARROLLO!$A:$A,0)))</f>
        <v>CULTURA</v>
      </c>
      <c r="G262" s="24" t="str">
        <f>IF($C262="","",INDEX([2]PLAN_DESARROLLO!$E:$E,MATCH($C262,[2]PLAN_DESARROLLO!$A:$A,0)))</f>
        <v>Realizar apoyo y/o Dotación en la ludoteca municipal en materiales lúdico-pedagógicos.</v>
      </c>
      <c r="H262" s="25">
        <v>1</v>
      </c>
      <c r="I262" s="25">
        <v>1</v>
      </c>
      <c r="J262" s="26">
        <f t="shared" ref="J262:J325" si="14">IF(OR($H262="",$I262=""),"",IFERROR($I262/$H262,0))</f>
        <v>1</v>
      </c>
      <c r="K262" s="27">
        <v>17300000</v>
      </c>
      <c r="L262" s="27">
        <v>1730000</v>
      </c>
      <c r="M262" s="26">
        <f t="shared" ref="M262:M325" si="15">IF(OR($K262="",$L262=""),"",IFERROR($L262/$K262,0))</f>
        <v>0.1</v>
      </c>
      <c r="N262" s="24" t="s">
        <v>651</v>
      </c>
      <c r="O262" s="24"/>
      <c r="P262" s="24" t="s">
        <v>502</v>
      </c>
      <c r="Q262" s="24" t="s">
        <v>497</v>
      </c>
      <c r="R262" s="24"/>
      <c r="S262" s="24"/>
      <c r="T262" s="28">
        <f t="shared" ca="1" si="13"/>
        <v>46059</v>
      </c>
      <c r="U262" s="24"/>
    </row>
    <row r="263" spans="1:21" s="35" customFormat="1" ht="30" x14ac:dyDescent="0.25">
      <c r="A263" s="24" t="s">
        <v>498</v>
      </c>
      <c r="B263" s="24" t="s">
        <v>485</v>
      </c>
      <c r="C263" s="24" t="s">
        <v>98</v>
      </c>
      <c r="D263" s="24" t="str">
        <f>IF($C263="","",INDEX([2]PLAN_DESARROLLO!$B:$B,MATCH($C263,[2]PLAN_DESARROLLO!$A:$A,0)))</f>
        <v>2024257770009</v>
      </c>
      <c r="E263" s="24" t="str">
        <f>IF($C263="","",INDEX([2]PLAN_DESARROLLO!$C:$C,MATCH($C263,[2]PLAN_DESARROLLO!$A:$A,0)))</f>
        <v>POR EL SUPATÁ SOÑADO AVANZAMOS JUNTOS EN LA LÍNEA ESTRATÉGICA SOCIAL</v>
      </c>
      <c r="F263" s="24" t="str">
        <f>IF($C263="","",INDEX([2]PLAN_DESARROLLO!$D:$D,MATCH($C263,[2]PLAN_DESARROLLO!$A:$A,0)))</f>
        <v>CULTURA</v>
      </c>
      <c r="G263" s="24" t="str">
        <f>IF($C263="","",INDEX([2]PLAN_DESARROLLO!$E:$E,MATCH($C263,[2]PLAN_DESARROLLO!$A:$A,0)))</f>
        <v>Realizar apoyo y/o Dotación en la ludoteca municipal en materiales lúdico-pedagógicos.</v>
      </c>
      <c r="H263" s="25">
        <v>1</v>
      </c>
      <c r="I263" s="25">
        <v>1</v>
      </c>
      <c r="J263" s="26">
        <f t="shared" si="14"/>
        <v>1</v>
      </c>
      <c r="K263" s="27">
        <v>21220000</v>
      </c>
      <c r="L263" s="27">
        <v>21220000</v>
      </c>
      <c r="M263" s="26">
        <f t="shared" si="15"/>
        <v>1</v>
      </c>
      <c r="N263" s="24" t="s">
        <v>652</v>
      </c>
      <c r="O263" s="24"/>
      <c r="P263" s="24" t="s">
        <v>502</v>
      </c>
      <c r="Q263" s="24" t="s">
        <v>497</v>
      </c>
      <c r="R263" s="24"/>
      <c r="S263" s="24"/>
      <c r="T263" s="28">
        <f t="shared" ca="1" si="13"/>
        <v>46059</v>
      </c>
      <c r="U263" s="24"/>
    </row>
    <row r="264" spans="1:21" s="34" customFormat="1" ht="30" x14ac:dyDescent="0.25">
      <c r="A264" s="29" t="s">
        <v>494</v>
      </c>
      <c r="B264" s="29" t="s">
        <v>485</v>
      </c>
      <c r="C264" s="29" t="s">
        <v>100</v>
      </c>
      <c r="D264" s="29" t="str">
        <f>IF($C264="","",INDEX([2]PLAN_DESARROLLO!$B:$B,MATCH($C264,[2]PLAN_DESARROLLO!$A:$A,0)))</f>
        <v>2024257770009</v>
      </c>
      <c r="E264" s="29" t="str">
        <f>IF($C264="","",INDEX([2]PLAN_DESARROLLO!$C:$C,MATCH($C264,[2]PLAN_DESARROLLO!$A:$A,0)))</f>
        <v>POR EL SUPATÁ SOÑADO AVANZAMOS JUNTOS EN LA LÍNEA ESTRATÉGICA SOCIAL</v>
      </c>
      <c r="F264" s="29" t="str">
        <f>IF($C264="","",INDEX([2]PLAN_DESARROLLO!$D:$D,MATCH($C264,[2]PLAN_DESARROLLO!$A:$A,0)))</f>
        <v>CULTURA</v>
      </c>
      <c r="G264" s="29" t="str">
        <f>IF($C264="","",INDEX([2]PLAN_DESARROLLO!$E:$E,MATCH($C264,[2]PLAN_DESARROLLO!$A:$A,0)))</f>
        <v>Realizar mantenimientos y/o adecuaciones de los escenarios culturales del municipio.</v>
      </c>
      <c r="H264" s="30"/>
      <c r="I264" s="30"/>
      <c r="J264" s="31" t="str">
        <f t="shared" si="14"/>
        <v/>
      </c>
      <c r="K264" s="32"/>
      <c r="L264" s="32"/>
      <c r="M264" s="31" t="str">
        <f t="shared" si="15"/>
        <v/>
      </c>
      <c r="N264" s="29"/>
      <c r="O264" s="29"/>
      <c r="P264" s="29"/>
      <c r="Q264" s="29"/>
      <c r="R264" s="29"/>
      <c r="S264" s="29"/>
      <c r="T264" s="33">
        <f t="shared" ca="1" si="13"/>
        <v>46059</v>
      </c>
      <c r="U264" s="29"/>
    </row>
    <row r="265" spans="1:21" s="34" customFormat="1" ht="30" x14ac:dyDescent="0.25">
      <c r="A265" s="29" t="s">
        <v>498</v>
      </c>
      <c r="B265" s="29" t="s">
        <v>485</v>
      </c>
      <c r="C265" s="29" t="s">
        <v>100</v>
      </c>
      <c r="D265" s="29" t="str">
        <f>IF($C265="","",INDEX([2]PLAN_DESARROLLO!$B:$B,MATCH($C265,[2]PLAN_DESARROLLO!$A:$A,0)))</f>
        <v>2024257770009</v>
      </c>
      <c r="E265" s="29" t="str">
        <f>IF($C265="","",INDEX([2]PLAN_DESARROLLO!$C:$C,MATCH($C265,[2]PLAN_DESARROLLO!$A:$A,0)))</f>
        <v>POR EL SUPATÁ SOÑADO AVANZAMOS JUNTOS EN LA LÍNEA ESTRATÉGICA SOCIAL</v>
      </c>
      <c r="F265" s="29" t="str">
        <f>IF($C265="","",INDEX([2]PLAN_DESARROLLO!$D:$D,MATCH($C265,[2]PLAN_DESARROLLO!$A:$A,0)))</f>
        <v>CULTURA</v>
      </c>
      <c r="G265" s="29" t="str">
        <f>IF($C265="","",INDEX([2]PLAN_DESARROLLO!$E:$E,MATCH($C265,[2]PLAN_DESARROLLO!$A:$A,0)))</f>
        <v>Realizar mantenimientos y/o adecuaciones de los escenarios culturales del municipio.</v>
      </c>
      <c r="H265" s="30"/>
      <c r="I265" s="30"/>
      <c r="J265" s="31" t="str">
        <f t="shared" si="14"/>
        <v/>
      </c>
      <c r="K265" s="32"/>
      <c r="L265" s="32"/>
      <c r="M265" s="31" t="str">
        <f t="shared" si="15"/>
        <v/>
      </c>
      <c r="N265" s="29"/>
      <c r="O265" s="29"/>
      <c r="P265" s="29"/>
      <c r="Q265" s="29"/>
      <c r="R265" s="29"/>
      <c r="S265" s="29"/>
      <c r="T265" s="33">
        <f t="shared" ca="1" si="13"/>
        <v>46059</v>
      </c>
      <c r="U265" s="29"/>
    </row>
    <row r="266" spans="1:21" s="35" customFormat="1" ht="30" x14ac:dyDescent="0.25">
      <c r="A266" s="24" t="s">
        <v>494</v>
      </c>
      <c r="B266" s="24" t="s">
        <v>485</v>
      </c>
      <c r="C266" s="24" t="s">
        <v>102</v>
      </c>
      <c r="D266" s="24" t="str">
        <f>IF($C266="","",INDEX([2]PLAN_DESARROLLO!$B:$B,MATCH($C266,[2]PLAN_DESARROLLO!$A:$A,0)))</f>
        <v>2024257770009</v>
      </c>
      <c r="E266" s="24" t="str">
        <f>IF($C266="","",INDEX([2]PLAN_DESARROLLO!$C:$C,MATCH($C266,[2]PLAN_DESARROLLO!$A:$A,0)))</f>
        <v>POR EL SUPATÁ SOÑADO AVANZAMOS JUNTOS EN LA LÍNEA ESTRATÉGICA SOCIAL</v>
      </c>
      <c r="F266" s="24" t="str">
        <f>IF($C266="","",INDEX([2]PLAN_DESARROLLO!$D:$D,MATCH($C266,[2]PLAN_DESARROLLO!$A:$A,0)))</f>
        <v>CULTURA</v>
      </c>
      <c r="G266" s="24" t="str">
        <f>IF($C266="","",INDEX([2]PLAN_DESARROLLO!$E:$E,MATCH($C266,[2]PLAN_DESARROLLO!$A:$A,0)))</f>
        <v>Garantizar el correcto funcionamiento anual de la biblioteca municipal</v>
      </c>
      <c r="H266" s="25">
        <v>4</v>
      </c>
      <c r="I266" s="25">
        <v>1</v>
      </c>
      <c r="J266" s="26">
        <f t="shared" si="14"/>
        <v>0.25</v>
      </c>
      <c r="K266" s="27">
        <v>23730000</v>
      </c>
      <c r="L266" s="27">
        <v>23730000</v>
      </c>
      <c r="M266" s="26">
        <f t="shared" si="15"/>
        <v>1</v>
      </c>
      <c r="N266" s="24" t="s">
        <v>653</v>
      </c>
      <c r="O266" s="24"/>
      <c r="P266" s="24" t="s">
        <v>502</v>
      </c>
      <c r="Q266" s="24" t="s">
        <v>497</v>
      </c>
      <c r="R266" s="24"/>
      <c r="S266" s="24"/>
      <c r="T266" s="28">
        <f t="shared" ca="1" si="13"/>
        <v>46059</v>
      </c>
      <c r="U266" s="24"/>
    </row>
    <row r="267" spans="1:21" s="35" customFormat="1" ht="30" x14ac:dyDescent="0.25">
      <c r="A267" s="24" t="s">
        <v>498</v>
      </c>
      <c r="B267" s="24" t="s">
        <v>485</v>
      </c>
      <c r="C267" s="24" t="s">
        <v>102</v>
      </c>
      <c r="D267" s="24" t="str">
        <f>IF($C267="","",INDEX([2]PLAN_DESARROLLO!$B:$B,MATCH($C267,[2]PLAN_DESARROLLO!$A:$A,0)))</f>
        <v>2024257770009</v>
      </c>
      <c r="E267" s="24" t="str">
        <f>IF($C267="","",INDEX([2]PLAN_DESARROLLO!$C:$C,MATCH($C267,[2]PLAN_DESARROLLO!$A:$A,0)))</f>
        <v>POR EL SUPATÁ SOÑADO AVANZAMOS JUNTOS EN LA LÍNEA ESTRATÉGICA SOCIAL</v>
      </c>
      <c r="F267" s="24" t="str">
        <f>IF($C267="","",INDEX([2]PLAN_DESARROLLO!$D:$D,MATCH($C267,[2]PLAN_DESARROLLO!$A:$A,0)))</f>
        <v>CULTURA</v>
      </c>
      <c r="G267" s="24" t="str">
        <f>IF($C267="","",INDEX([2]PLAN_DESARROLLO!$E:$E,MATCH($C267,[2]PLAN_DESARROLLO!$A:$A,0)))</f>
        <v>Garantizar el correcto funcionamiento anual de la biblioteca municipal</v>
      </c>
      <c r="H267" s="25">
        <v>4</v>
      </c>
      <c r="I267" s="25">
        <v>1</v>
      </c>
      <c r="J267" s="26">
        <f t="shared" si="14"/>
        <v>0.25</v>
      </c>
      <c r="K267" s="27">
        <v>21220000</v>
      </c>
      <c r="L267" s="27">
        <v>21220000</v>
      </c>
      <c r="M267" s="26">
        <f t="shared" si="15"/>
        <v>1</v>
      </c>
      <c r="N267" s="24" t="s">
        <v>653</v>
      </c>
      <c r="O267" s="24"/>
      <c r="P267" s="24" t="s">
        <v>502</v>
      </c>
      <c r="Q267" s="24" t="s">
        <v>497</v>
      </c>
      <c r="R267" s="24"/>
      <c r="S267" s="24"/>
      <c r="T267" s="28">
        <f t="shared" ca="1" si="13"/>
        <v>46059</v>
      </c>
      <c r="U267" s="24"/>
    </row>
    <row r="268" spans="1:21" s="35" customFormat="1" ht="30" x14ac:dyDescent="0.25">
      <c r="A268" s="24" t="s">
        <v>494</v>
      </c>
      <c r="B268" s="24" t="s">
        <v>485</v>
      </c>
      <c r="C268" s="24" t="s">
        <v>104</v>
      </c>
      <c r="D268" s="24" t="str">
        <f>IF($C268="","",INDEX([2]PLAN_DESARROLLO!$B:$B,MATCH($C268,[2]PLAN_DESARROLLO!$A:$A,0)))</f>
        <v>2024257770009</v>
      </c>
      <c r="E268" s="24" t="str">
        <f>IF($C268="","",INDEX([2]PLAN_DESARROLLO!$C:$C,MATCH($C268,[2]PLAN_DESARROLLO!$A:$A,0)))</f>
        <v>POR EL SUPATÁ SOÑADO AVANZAMOS JUNTOS EN LA LÍNEA ESTRATÉGICA SOCIAL</v>
      </c>
      <c r="F268" s="24" t="str">
        <f>IF($C268="","",INDEX([2]PLAN_DESARROLLO!$D:$D,MATCH($C268,[2]PLAN_DESARROLLO!$A:$A,0)))</f>
        <v>CULTURA</v>
      </c>
      <c r="G268" s="24" t="str">
        <f>IF($C268="","",INDEX([2]PLAN_DESARROLLO!$E:$E,MATCH($C268,[2]PLAN_DESARROLLO!$A:$A,0)))</f>
        <v xml:space="preserve">Reconocimiento y dignificación de los gestores culturales y artistas locales. 
</v>
      </c>
      <c r="H268" s="25">
        <v>4</v>
      </c>
      <c r="I268" s="25">
        <v>1</v>
      </c>
      <c r="J268" s="26">
        <f t="shared" si="14"/>
        <v>0.25</v>
      </c>
      <c r="K268" s="27"/>
      <c r="L268" s="27"/>
      <c r="M268" s="26" t="str">
        <f t="shared" si="15"/>
        <v/>
      </c>
      <c r="N268" s="24"/>
      <c r="O268" s="24"/>
      <c r="P268" s="24"/>
      <c r="Q268" s="24"/>
      <c r="R268" s="24"/>
      <c r="S268" s="24"/>
      <c r="T268" s="28">
        <f t="shared" ca="1" si="13"/>
        <v>46059</v>
      </c>
      <c r="U268" s="24"/>
    </row>
    <row r="269" spans="1:21" s="35" customFormat="1" ht="30" x14ac:dyDescent="0.25">
      <c r="A269" s="24" t="s">
        <v>498</v>
      </c>
      <c r="B269" s="24" t="s">
        <v>485</v>
      </c>
      <c r="C269" s="24" t="s">
        <v>104</v>
      </c>
      <c r="D269" s="24" t="str">
        <f>IF($C269="","",INDEX([2]PLAN_DESARROLLO!$B:$B,MATCH($C269,[2]PLAN_DESARROLLO!$A:$A,0)))</f>
        <v>2024257770009</v>
      </c>
      <c r="E269" s="24" t="str">
        <f>IF($C269="","",INDEX([2]PLAN_DESARROLLO!$C:$C,MATCH($C269,[2]PLAN_DESARROLLO!$A:$A,0)))</f>
        <v>POR EL SUPATÁ SOÑADO AVANZAMOS JUNTOS EN LA LÍNEA ESTRATÉGICA SOCIAL</v>
      </c>
      <c r="F269" s="24" t="str">
        <f>IF($C269="","",INDEX([2]PLAN_DESARROLLO!$D:$D,MATCH($C269,[2]PLAN_DESARROLLO!$A:$A,0)))</f>
        <v>CULTURA</v>
      </c>
      <c r="G269" s="24" t="str">
        <f>IF($C269="","",INDEX([2]PLAN_DESARROLLO!$E:$E,MATCH($C269,[2]PLAN_DESARROLLO!$A:$A,0)))</f>
        <v xml:space="preserve">Reconocimiento y dignificación de los gestores culturales y artistas locales. 
</v>
      </c>
      <c r="H269" s="25">
        <v>4</v>
      </c>
      <c r="I269" s="25">
        <v>1</v>
      </c>
      <c r="J269" s="26">
        <f t="shared" si="14"/>
        <v>0.25</v>
      </c>
      <c r="K269" s="27"/>
      <c r="L269" s="27"/>
      <c r="M269" s="26" t="str">
        <f t="shared" si="15"/>
        <v/>
      </c>
      <c r="N269" s="24"/>
      <c r="O269" s="24"/>
      <c r="P269" s="24"/>
      <c r="Q269" s="24"/>
      <c r="R269" s="24"/>
      <c r="S269" s="24"/>
      <c r="T269" s="28">
        <f t="shared" ca="1" si="13"/>
        <v>46059</v>
      </c>
      <c r="U269" s="24"/>
    </row>
    <row r="270" spans="1:21" s="35" customFormat="1" ht="45" x14ac:dyDescent="0.25">
      <c r="A270" s="24" t="s">
        <v>494</v>
      </c>
      <c r="B270" s="24" t="s">
        <v>485</v>
      </c>
      <c r="C270" s="24" t="s">
        <v>106</v>
      </c>
      <c r="D270" s="24" t="str">
        <f>IF($C270="","",INDEX([2]PLAN_DESARROLLO!$B:$B,MATCH($C270,[2]PLAN_DESARROLLO!$A:$A,0)))</f>
        <v>2024257770010</v>
      </c>
      <c r="E270" s="24" t="str">
        <f>IF($C270="","",INDEX([2]PLAN_DESARROLLO!$C:$C,MATCH($C270,[2]PLAN_DESARROLLO!$A:$A,0)))</f>
        <v>POR EL SUPATÁ SOÑADO AVANZAMOS JUNTOS EN LA LÍNEA ESTRATÉGICA SOCIAL</v>
      </c>
      <c r="F270" s="24" t="str">
        <f>IF($C270="","",INDEX([2]PLAN_DESARROLLO!$D:$D,MATCH($C270,[2]PLAN_DESARROLLO!$A:$A,0)))</f>
        <v>RECREACION Y DEPROTE</v>
      </c>
      <c r="G270" s="24" t="str">
        <f>IF($C270="","",INDEX([2]PLAN_DESARROLLO!$E:$E,MATCH($C270,[2]PLAN_DESARROLLO!$A:$A,0)))</f>
        <v>Mantener las 4 escuelas de formacion deportiva y recreativa  en el municipio</v>
      </c>
      <c r="H270" s="25">
        <v>4</v>
      </c>
      <c r="I270" s="25">
        <v>5</v>
      </c>
      <c r="J270" s="26">
        <f t="shared" si="14"/>
        <v>1.25</v>
      </c>
      <c r="K270" s="27">
        <v>101834000</v>
      </c>
      <c r="L270" s="27">
        <v>101834000</v>
      </c>
      <c r="M270" s="26">
        <f t="shared" si="15"/>
        <v>1</v>
      </c>
      <c r="N270" s="24" t="s">
        <v>654</v>
      </c>
      <c r="O270" s="24"/>
      <c r="P270" s="24" t="s">
        <v>502</v>
      </c>
      <c r="Q270" s="24" t="s">
        <v>497</v>
      </c>
      <c r="R270" s="24"/>
      <c r="S270" s="24"/>
      <c r="T270" s="28">
        <f t="shared" ca="1" si="13"/>
        <v>46059</v>
      </c>
      <c r="U270" s="24"/>
    </row>
    <row r="271" spans="1:21" s="35" customFormat="1" ht="45" x14ac:dyDescent="0.25">
      <c r="A271" s="24" t="s">
        <v>498</v>
      </c>
      <c r="B271" s="24" t="s">
        <v>485</v>
      </c>
      <c r="C271" s="24" t="s">
        <v>106</v>
      </c>
      <c r="D271" s="24" t="str">
        <f>IF($C271="","",INDEX([2]PLAN_DESARROLLO!$B:$B,MATCH($C271,[2]PLAN_DESARROLLO!$A:$A,0)))</f>
        <v>2024257770010</v>
      </c>
      <c r="E271" s="24" t="str">
        <f>IF($C271="","",INDEX([2]PLAN_DESARROLLO!$C:$C,MATCH($C271,[2]PLAN_DESARROLLO!$A:$A,0)))</f>
        <v>POR EL SUPATÁ SOÑADO AVANZAMOS JUNTOS EN LA LÍNEA ESTRATÉGICA SOCIAL</v>
      </c>
      <c r="F271" s="24" t="str">
        <f>IF($C271="","",INDEX([2]PLAN_DESARROLLO!$D:$D,MATCH($C271,[2]PLAN_DESARROLLO!$A:$A,0)))</f>
        <v>RECREACION Y DEPROTE</v>
      </c>
      <c r="G271" s="24" t="str">
        <f>IF($C271="","",INDEX([2]PLAN_DESARROLLO!$E:$E,MATCH($C271,[2]PLAN_DESARROLLO!$A:$A,0)))</f>
        <v>Mantener las 4 escuelas de formacion deportiva y recreativa  en el municipio</v>
      </c>
      <c r="H271" s="25">
        <v>4</v>
      </c>
      <c r="I271" s="25">
        <v>5</v>
      </c>
      <c r="J271" s="26">
        <f t="shared" si="14"/>
        <v>1.25</v>
      </c>
      <c r="K271" s="27">
        <v>108900000</v>
      </c>
      <c r="L271" s="27">
        <v>108900000</v>
      </c>
      <c r="M271" s="26">
        <f t="shared" si="15"/>
        <v>1</v>
      </c>
      <c r="N271" s="24" t="s">
        <v>654</v>
      </c>
      <c r="O271" s="24"/>
      <c r="P271" s="24" t="s">
        <v>502</v>
      </c>
      <c r="Q271" s="24" t="s">
        <v>497</v>
      </c>
      <c r="R271" s="24"/>
      <c r="S271" s="24"/>
      <c r="T271" s="28">
        <f t="shared" ca="1" si="13"/>
        <v>46059</v>
      </c>
      <c r="U271" s="24"/>
    </row>
    <row r="272" spans="1:21" s="35" customFormat="1" ht="30" x14ac:dyDescent="0.25">
      <c r="A272" s="24" t="s">
        <v>494</v>
      </c>
      <c r="B272" s="24" t="s">
        <v>485</v>
      </c>
      <c r="C272" s="24" t="s">
        <v>110</v>
      </c>
      <c r="D272" s="24" t="str">
        <f>IF($C272="","",INDEX([2]PLAN_DESARROLLO!$B:$B,MATCH($C272,[2]PLAN_DESARROLLO!$A:$A,0)))</f>
        <v>2024257770010</v>
      </c>
      <c r="E272" s="24" t="str">
        <f>IF($C272="","",INDEX([2]PLAN_DESARROLLO!$C:$C,MATCH($C272,[2]PLAN_DESARROLLO!$A:$A,0)))</f>
        <v>POR EL SUPATÁ SOÑADO AVANZAMOS JUNTOS EN LA LÍNEA ESTRATÉGICA SOCIAL</v>
      </c>
      <c r="F272" s="24" t="str">
        <f>IF($C272="","",INDEX([2]PLAN_DESARROLLO!$D:$D,MATCH($C272,[2]PLAN_DESARROLLO!$A:$A,0)))</f>
        <v>RECREACION Y DEPROTE</v>
      </c>
      <c r="G272" s="24" t="str">
        <f>IF($C272="","",INDEX([2]PLAN_DESARROLLO!$E:$E,MATCH($C272,[2]PLAN_DESARROLLO!$A:$A,0)))</f>
        <v>Implementar  una (1) escuela de formación deportiva en la zona rural.</v>
      </c>
      <c r="H272" s="25">
        <v>1</v>
      </c>
      <c r="I272" s="25">
        <v>1</v>
      </c>
      <c r="J272" s="26">
        <f t="shared" si="14"/>
        <v>1</v>
      </c>
      <c r="K272" s="27">
        <v>16800000</v>
      </c>
      <c r="L272" s="27">
        <v>16800000</v>
      </c>
      <c r="M272" s="26">
        <f t="shared" si="15"/>
        <v>1</v>
      </c>
      <c r="N272" s="24" t="s">
        <v>655</v>
      </c>
      <c r="O272" s="24"/>
      <c r="P272" s="24" t="s">
        <v>502</v>
      </c>
      <c r="Q272" s="24" t="s">
        <v>497</v>
      </c>
      <c r="R272" s="24"/>
      <c r="S272" s="24"/>
      <c r="T272" s="28">
        <f t="shared" ca="1" si="13"/>
        <v>46059</v>
      </c>
      <c r="U272" s="24"/>
    </row>
    <row r="273" spans="1:21" s="35" customFormat="1" ht="30" x14ac:dyDescent="0.25">
      <c r="A273" s="24" t="s">
        <v>498</v>
      </c>
      <c r="B273" s="24" t="s">
        <v>485</v>
      </c>
      <c r="C273" s="24" t="s">
        <v>110</v>
      </c>
      <c r="D273" s="24" t="str">
        <f>IF($C273="","",INDEX([2]PLAN_DESARROLLO!$B:$B,MATCH($C273,[2]PLAN_DESARROLLO!$A:$A,0)))</f>
        <v>2024257770010</v>
      </c>
      <c r="E273" s="24" t="str">
        <f>IF($C273="","",INDEX([2]PLAN_DESARROLLO!$C:$C,MATCH($C273,[2]PLAN_DESARROLLO!$A:$A,0)))</f>
        <v>POR EL SUPATÁ SOÑADO AVANZAMOS JUNTOS EN LA LÍNEA ESTRATÉGICA SOCIAL</v>
      </c>
      <c r="F273" s="24" t="str">
        <f>IF($C273="","",INDEX([2]PLAN_DESARROLLO!$D:$D,MATCH($C273,[2]PLAN_DESARROLLO!$A:$A,0)))</f>
        <v>RECREACION Y DEPROTE</v>
      </c>
      <c r="G273" s="24" t="str">
        <f>IF($C273="","",INDEX([2]PLAN_DESARROLLO!$E:$E,MATCH($C273,[2]PLAN_DESARROLLO!$A:$A,0)))</f>
        <v>Implementar  una (1) escuela de formación deportiva en la zona rural.</v>
      </c>
      <c r="H273" s="25">
        <v>1</v>
      </c>
      <c r="I273" s="25">
        <v>1</v>
      </c>
      <c r="J273" s="26">
        <f t="shared" si="14"/>
        <v>1</v>
      </c>
      <c r="K273" s="27">
        <v>20000000</v>
      </c>
      <c r="L273" s="27">
        <v>20000000</v>
      </c>
      <c r="M273" s="26">
        <f t="shared" si="15"/>
        <v>1</v>
      </c>
      <c r="N273" s="24" t="s">
        <v>655</v>
      </c>
      <c r="O273" s="24"/>
      <c r="P273" s="24" t="s">
        <v>502</v>
      </c>
      <c r="Q273" s="24" t="s">
        <v>497</v>
      </c>
      <c r="R273" s="24"/>
      <c r="S273" s="24"/>
      <c r="T273" s="28">
        <f t="shared" ca="1" si="13"/>
        <v>46059</v>
      </c>
      <c r="U273" s="24"/>
    </row>
    <row r="274" spans="1:21" s="34" customFormat="1" ht="30" x14ac:dyDescent="0.25">
      <c r="A274" s="29" t="s">
        <v>494</v>
      </c>
      <c r="B274" s="29" t="s">
        <v>485</v>
      </c>
      <c r="C274" s="29" t="s">
        <v>112</v>
      </c>
      <c r="D274" s="29" t="str">
        <f>IF($C274="","",INDEX([2]PLAN_DESARROLLO!$B:$B,MATCH($C274,[2]PLAN_DESARROLLO!$A:$A,0)))</f>
        <v>2024257770010</v>
      </c>
      <c r="E274" s="29" t="str">
        <f>IF($C274="","",INDEX([2]PLAN_DESARROLLO!$C:$C,MATCH($C274,[2]PLAN_DESARROLLO!$A:$A,0)))</f>
        <v>POR EL SUPATÁ SOÑADO AVANZAMOS JUNTOS EN LA LÍNEA ESTRATÉGICA SOCIAL</v>
      </c>
      <c r="F274" s="29" t="str">
        <f>IF($C274="","",INDEX([2]PLAN_DESARROLLO!$D:$D,MATCH($C274,[2]PLAN_DESARROLLO!$A:$A,0)))</f>
        <v>RECREACION Y DEPROTE</v>
      </c>
      <c r="G274" s="29" t="str">
        <f>IF($C274="","",INDEX([2]PLAN_DESARROLLO!$E:$E,MATCH($C274,[2]PLAN_DESARROLLO!$A:$A,0)))</f>
        <v>Mejorar y mantener  3 escenarios recreo-deportivos  del municipio, durante el periodo de gobierno.</v>
      </c>
      <c r="H274" s="30"/>
      <c r="I274" s="30"/>
      <c r="J274" s="31" t="str">
        <f t="shared" si="14"/>
        <v/>
      </c>
      <c r="K274" s="32"/>
      <c r="L274" s="32"/>
      <c r="M274" s="31" t="str">
        <f t="shared" si="15"/>
        <v/>
      </c>
      <c r="N274" s="29"/>
      <c r="O274" s="29"/>
      <c r="P274" s="29"/>
      <c r="Q274" s="29"/>
      <c r="R274" s="29"/>
      <c r="S274" s="29"/>
      <c r="T274" s="33">
        <f t="shared" ca="1" si="13"/>
        <v>46059</v>
      </c>
      <c r="U274" s="29"/>
    </row>
    <row r="275" spans="1:21" s="34" customFormat="1" ht="30" x14ac:dyDescent="0.25">
      <c r="A275" s="29" t="s">
        <v>498</v>
      </c>
      <c r="B275" s="29" t="s">
        <v>485</v>
      </c>
      <c r="C275" s="29" t="s">
        <v>112</v>
      </c>
      <c r="D275" s="29" t="str">
        <f>IF($C275="","",INDEX([2]PLAN_DESARROLLO!$B:$B,MATCH($C275,[2]PLAN_DESARROLLO!$A:$A,0)))</f>
        <v>2024257770010</v>
      </c>
      <c r="E275" s="29" t="str">
        <f>IF($C275="","",INDEX([2]PLAN_DESARROLLO!$C:$C,MATCH($C275,[2]PLAN_DESARROLLO!$A:$A,0)))</f>
        <v>POR EL SUPATÁ SOÑADO AVANZAMOS JUNTOS EN LA LÍNEA ESTRATÉGICA SOCIAL</v>
      </c>
      <c r="F275" s="29" t="str">
        <f>IF($C275="","",INDEX([2]PLAN_DESARROLLO!$D:$D,MATCH($C275,[2]PLAN_DESARROLLO!$A:$A,0)))</f>
        <v>RECREACION Y DEPROTE</v>
      </c>
      <c r="G275" s="29" t="str">
        <f>IF($C275="","",INDEX([2]PLAN_DESARROLLO!$E:$E,MATCH($C275,[2]PLAN_DESARROLLO!$A:$A,0)))</f>
        <v>Mejorar y mantener  3 escenarios recreo-deportivos  del municipio, durante el periodo de gobierno.</v>
      </c>
      <c r="H275" s="30"/>
      <c r="I275" s="30"/>
      <c r="J275" s="31" t="str">
        <f t="shared" si="14"/>
        <v/>
      </c>
      <c r="K275" s="32"/>
      <c r="L275" s="32"/>
      <c r="M275" s="31" t="str">
        <f t="shared" si="15"/>
        <v/>
      </c>
      <c r="N275" s="29"/>
      <c r="O275" s="29"/>
      <c r="P275" s="29"/>
      <c r="Q275" s="29"/>
      <c r="R275" s="29"/>
      <c r="S275" s="29"/>
      <c r="T275" s="33">
        <f t="shared" ca="1" si="13"/>
        <v>46059</v>
      </c>
      <c r="U275" s="29"/>
    </row>
    <row r="276" spans="1:21" s="35" customFormat="1" ht="60" x14ac:dyDescent="0.25">
      <c r="A276" s="24" t="s">
        <v>494</v>
      </c>
      <c r="B276" s="24" t="s">
        <v>485</v>
      </c>
      <c r="C276" s="24" t="s">
        <v>114</v>
      </c>
      <c r="D276" s="24" t="str">
        <f>IF($C276="","",INDEX([2]PLAN_DESARROLLO!$B:$B,MATCH($C276,[2]PLAN_DESARROLLO!$A:$A,0)))</f>
        <v>2024257770010</v>
      </c>
      <c r="E276" s="24" t="str">
        <f>IF($C276="","",INDEX([2]PLAN_DESARROLLO!$C:$C,MATCH($C276,[2]PLAN_DESARROLLO!$A:$A,0)))</f>
        <v>POR EL SUPATÁ SOÑADO AVANZAMOS JUNTOS EN LA LÍNEA ESTRATÉGICA SOCIAL</v>
      </c>
      <c r="F276" s="24" t="str">
        <f>IF($C276="","",INDEX([2]PLAN_DESARROLLO!$D:$D,MATCH($C276,[2]PLAN_DESARROLLO!$A:$A,0)))</f>
        <v>RECREACION Y DEPROTE</v>
      </c>
      <c r="G276" s="24" t="str">
        <f>IF($C276="","",INDEX([2]PLAN_DESARROLLO!$E:$E,MATCH($C276,[2]PLAN_DESARROLLO!$A:$A,0)))</f>
        <v>Realizar 7 eventos deportivos y/o recreativos en el municipio</v>
      </c>
      <c r="H276" s="25">
        <v>28</v>
      </c>
      <c r="I276" s="25">
        <v>7</v>
      </c>
      <c r="J276" s="26">
        <f t="shared" si="14"/>
        <v>0.25</v>
      </c>
      <c r="K276" s="27">
        <v>107441500</v>
      </c>
      <c r="L276" s="27">
        <v>107441500</v>
      </c>
      <c r="M276" s="26">
        <f t="shared" si="15"/>
        <v>1</v>
      </c>
      <c r="N276" s="24" t="s">
        <v>656</v>
      </c>
      <c r="O276" s="24"/>
      <c r="P276" s="24" t="s">
        <v>502</v>
      </c>
      <c r="Q276" s="24" t="s">
        <v>497</v>
      </c>
      <c r="R276" s="24"/>
      <c r="S276" s="24"/>
      <c r="T276" s="28">
        <f t="shared" ca="1" si="13"/>
        <v>46059</v>
      </c>
      <c r="U276" s="24"/>
    </row>
    <row r="277" spans="1:21" s="35" customFormat="1" ht="90" x14ac:dyDescent="0.25">
      <c r="A277" s="24" t="s">
        <v>498</v>
      </c>
      <c r="B277" s="24" t="s">
        <v>485</v>
      </c>
      <c r="C277" s="24" t="s">
        <v>114</v>
      </c>
      <c r="D277" s="24" t="str">
        <f>IF($C277="","",INDEX([2]PLAN_DESARROLLO!$B:$B,MATCH($C277,[2]PLAN_DESARROLLO!$A:$A,0)))</f>
        <v>2024257770010</v>
      </c>
      <c r="E277" s="24" t="str">
        <f>IF($C277="","",INDEX([2]PLAN_DESARROLLO!$C:$C,MATCH($C277,[2]PLAN_DESARROLLO!$A:$A,0)))</f>
        <v>POR EL SUPATÁ SOÑADO AVANZAMOS JUNTOS EN LA LÍNEA ESTRATÉGICA SOCIAL</v>
      </c>
      <c r="F277" s="24" t="str">
        <f>IF($C277="","",INDEX([2]PLAN_DESARROLLO!$D:$D,MATCH($C277,[2]PLAN_DESARROLLO!$A:$A,0)))</f>
        <v>RECREACION Y DEPROTE</v>
      </c>
      <c r="G277" s="24" t="str">
        <f>IF($C277="","",INDEX([2]PLAN_DESARROLLO!$E:$E,MATCH($C277,[2]PLAN_DESARROLLO!$A:$A,0)))</f>
        <v>Realizar 7 eventos deportivos y/o recreativos en el municipio</v>
      </c>
      <c r="H277" s="25">
        <v>28</v>
      </c>
      <c r="I277" s="25">
        <v>7</v>
      </c>
      <c r="J277" s="26">
        <f t="shared" si="14"/>
        <v>0.25</v>
      </c>
      <c r="K277" s="27">
        <v>209004975</v>
      </c>
      <c r="L277" s="27">
        <v>209004975</v>
      </c>
      <c r="M277" s="26">
        <f t="shared" si="15"/>
        <v>1</v>
      </c>
      <c r="N277" s="24" t="s">
        <v>657</v>
      </c>
      <c r="O277" s="24"/>
      <c r="P277" s="24" t="s">
        <v>502</v>
      </c>
      <c r="Q277" s="24" t="s">
        <v>497</v>
      </c>
      <c r="R277" s="24"/>
      <c r="S277" s="24"/>
      <c r="T277" s="28">
        <f t="shared" ca="1" si="13"/>
        <v>46059</v>
      </c>
      <c r="U277" s="24"/>
    </row>
    <row r="278" spans="1:21" s="35" customFormat="1" ht="30" x14ac:dyDescent="0.25">
      <c r="A278" s="24" t="s">
        <v>494</v>
      </c>
      <c r="B278" s="24" t="s">
        <v>485</v>
      </c>
      <c r="C278" s="24" t="s">
        <v>116</v>
      </c>
      <c r="D278" s="24" t="str">
        <f>IF($C278="","",INDEX([2]PLAN_DESARROLLO!$B:$B,MATCH($C278,[2]PLAN_DESARROLLO!$A:$A,0)))</f>
        <v>2024257770010</v>
      </c>
      <c r="E278" s="24" t="str">
        <f>IF($C278="","",INDEX([2]PLAN_DESARROLLO!$C:$C,MATCH($C278,[2]PLAN_DESARROLLO!$A:$A,0)))</f>
        <v>POR EL SUPATÁ SOÑADO AVANZAMOS JUNTOS EN LA LÍNEA ESTRATÉGICA SOCIAL</v>
      </c>
      <c r="F278" s="24" t="str">
        <f>IF($C278="","",INDEX([2]PLAN_DESARROLLO!$D:$D,MATCH($C278,[2]PLAN_DESARROLLO!$A:$A,0)))</f>
        <v>RECREACION Y DEPROTE</v>
      </c>
      <c r="G278" s="24" t="str">
        <f>IF($C278="","",INDEX([2]PLAN_DESARROLLO!$E:$E,MATCH($C278,[2]PLAN_DESARROLLO!$A:$A,0)))</f>
        <v>Servicio de organización de eventos recreativos comunitarios</v>
      </c>
      <c r="H278" s="25">
        <v>4</v>
      </c>
      <c r="I278" s="25">
        <v>2</v>
      </c>
      <c r="J278" s="26">
        <f t="shared" si="14"/>
        <v>0.5</v>
      </c>
      <c r="K278" s="27">
        <v>69853450</v>
      </c>
      <c r="L278" s="27">
        <v>69853450</v>
      </c>
      <c r="M278" s="26">
        <f t="shared" si="15"/>
        <v>1</v>
      </c>
      <c r="N278" s="24" t="s">
        <v>658</v>
      </c>
      <c r="O278" s="24"/>
      <c r="P278" s="24" t="s">
        <v>502</v>
      </c>
      <c r="Q278" s="24" t="s">
        <v>497</v>
      </c>
      <c r="R278" s="24"/>
      <c r="S278" s="24"/>
      <c r="T278" s="28">
        <f t="shared" ca="1" si="13"/>
        <v>46059</v>
      </c>
      <c r="U278" s="24"/>
    </row>
    <row r="279" spans="1:21" s="35" customFormat="1" ht="30" x14ac:dyDescent="0.25">
      <c r="A279" s="24" t="s">
        <v>498</v>
      </c>
      <c r="B279" s="24" t="s">
        <v>485</v>
      </c>
      <c r="C279" s="24" t="s">
        <v>116</v>
      </c>
      <c r="D279" s="24" t="str">
        <f>IF($C279="","",INDEX([2]PLAN_DESARROLLO!$B:$B,MATCH($C279,[2]PLAN_DESARROLLO!$A:$A,0)))</f>
        <v>2024257770010</v>
      </c>
      <c r="E279" s="24" t="str">
        <f>IF($C279="","",INDEX([2]PLAN_DESARROLLO!$C:$C,MATCH($C279,[2]PLAN_DESARROLLO!$A:$A,0)))</f>
        <v>POR EL SUPATÁ SOÑADO AVANZAMOS JUNTOS EN LA LÍNEA ESTRATÉGICA SOCIAL</v>
      </c>
      <c r="F279" s="24" t="str">
        <f>IF($C279="","",INDEX([2]PLAN_DESARROLLO!$D:$D,MATCH($C279,[2]PLAN_DESARROLLO!$A:$A,0)))</f>
        <v>RECREACION Y DEPROTE</v>
      </c>
      <c r="G279" s="24" t="str">
        <f>IF($C279="","",INDEX([2]PLAN_DESARROLLO!$E:$E,MATCH($C279,[2]PLAN_DESARROLLO!$A:$A,0)))</f>
        <v>Servicio de organización de eventos recreativos comunitarios</v>
      </c>
      <c r="H279" s="25">
        <v>4</v>
      </c>
      <c r="I279" s="25">
        <v>2</v>
      </c>
      <c r="J279" s="26">
        <f t="shared" si="14"/>
        <v>0.5</v>
      </c>
      <c r="K279" s="27">
        <v>89209643</v>
      </c>
      <c r="L279" s="27">
        <v>89209643</v>
      </c>
      <c r="M279" s="26">
        <f t="shared" si="15"/>
        <v>1</v>
      </c>
      <c r="N279" s="24" t="s">
        <v>658</v>
      </c>
      <c r="O279" s="24"/>
      <c r="P279" s="24" t="s">
        <v>502</v>
      </c>
      <c r="Q279" s="24" t="s">
        <v>497</v>
      </c>
      <c r="R279" s="24"/>
      <c r="S279" s="24"/>
      <c r="T279" s="28">
        <f t="shared" ca="1" si="13"/>
        <v>46059</v>
      </c>
      <c r="U279" s="24"/>
    </row>
    <row r="280" spans="1:21" s="35" customFormat="1" ht="30" x14ac:dyDescent="0.25">
      <c r="A280" s="24" t="s">
        <v>494</v>
      </c>
      <c r="B280" s="24" t="s">
        <v>485</v>
      </c>
      <c r="C280" s="24" t="s">
        <v>118</v>
      </c>
      <c r="D280" s="24" t="str">
        <f>IF($C280="","",INDEX([2]PLAN_DESARROLLO!$B:$B,MATCH($C280,[2]PLAN_DESARROLLO!$A:$A,0)))</f>
        <v>2024257770010</v>
      </c>
      <c r="E280" s="24" t="str">
        <f>IF($C280="","",INDEX([2]PLAN_DESARROLLO!$C:$C,MATCH($C280,[2]PLAN_DESARROLLO!$A:$A,0)))</f>
        <v>POR EL SUPATÁ SOÑADO AVANZAMOS JUNTOS EN LA LÍNEA ESTRATÉGICA SOCIAL</v>
      </c>
      <c r="F280" s="24" t="str">
        <f>IF($C280="","",INDEX([2]PLAN_DESARROLLO!$D:$D,MATCH($C280,[2]PLAN_DESARROLLO!$A:$A,0)))</f>
        <v>RECREACION Y DEPROTE</v>
      </c>
      <c r="G280" s="24" t="str">
        <f>IF($C280="","",INDEX([2]PLAN_DESARROLLO!$E:$E,MATCH($C280,[2]PLAN_DESARROLLO!$A:$A,0)))</f>
        <v>Realizar dotacion de implementos deportivos para la formacion deportiva y recreativa</v>
      </c>
      <c r="H280" s="25">
        <v>2</v>
      </c>
      <c r="I280" s="25">
        <v>0</v>
      </c>
      <c r="J280" s="26">
        <f t="shared" si="14"/>
        <v>0</v>
      </c>
      <c r="K280" s="27">
        <v>0</v>
      </c>
      <c r="L280" s="27">
        <v>0</v>
      </c>
      <c r="M280" s="26">
        <v>0</v>
      </c>
      <c r="N280" s="24"/>
      <c r="O280" s="24"/>
      <c r="P280" s="24"/>
      <c r="Q280" s="24"/>
      <c r="R280" s="24"/>
      <c r="S280" s="24"/>
      <c r="T280" s="28">
        <f t="shared" ca="1" si="13"/>
        <v>46059</v>
      </c>
      <c r="U280" s="24"/>
    </row>
    <row r="281" spans="1:21" s="35" customFormat="1" ht="30" x14ac:dyDescent="0.25">
      <c r="A281" s="24" t="s">
        <v>498</v>
      </c>
      <c r="B281" s="24" t="s">
        <v>485</v>
      </c>
      <c r="C281" s="24" t="s">
        <v>118</v>
      </c>
      <c r="D281" s="24" t="str">
        <f>IF($C281="","",INDEX([2]PLAN_DESARROLLO!$B:$B,MATCH($C281,[2]PLAN_DESARROLLO!$A:$A,0)))</f>
        <v>2024257770010</v>
      </c>
      <c r="E281" s="24" t="str">
        <f>IF($C281="","",INDEX([2]PLAN_DESARROLLO!$C:$C,MATCH($C281,[2]PLAN_DESARROLLO!$A:$A,0)))</f>
        <v>POR EL SUPATÁ SOÑADO AVANZAMOS JUNTOS EN LA LÍNEA ESTRATÉGICA SOCIAL</v>
      </c>
      <c r="F281" s="24" t="str">
        <f>IF($C281="","",INDEX([2]PLAN_DESARROLLO!$D:$D,MATCH($C281,[2]PLAN_DESARROLLO!$A:$A,0)))</f>
        <v>RECREACION Y DEPROTE</v>
      </c>
      <c r="G281" s="24" t="str">
        <f>IF($C281="","",INDEX([2]PLAN_DESARROLLO!$E:$E,MATCH($C281,[2]PLAN_DESARROLLO!$A:$A,0)))</f>
        <v>Realizar dotacion de implementos deportivos para la formacion deportiva y recreativa</v>
      </c>
      <c r="H281" s="25">
        <v>2</v>
      </c>
      <c r="I281" s="25">
        <v>1</v>
      </c>
      <c r="J281" s="26">
        <f t="shared" si="14"/>
        <v>0.5</v>
      </c>
      <c r="K281" s="27">
        <v>30287740</v>
      </c>
      <c r="L281" s="27">
        <v>30287740</v>
      </c>
      <c r="M281" s="26">
        <f t="shared" si="15"/>
        <v>1</v>
      </c>
      <c r="N281" s="24" t="s">
        <v>659</v>
      </c>
      <c r="O281" s="24"/>
      <c r="P281" s="24" t="s">
        <v>502</v>
      </c>
      <c r="Q281" s="24" t="s">
        <v>497</v>
      </c>
      <c r="R281" s="24"/>
      <c r="S281" s="24"/>
      <c r="T281" s="28">
        <f t="shared" ca="1" si="13"/>
        <v>46059</v>
      </c>
      <c r="U281" s="24"/>
    </row>
    <row r="282" spans="1:21" s="34" customFormat="1" ht="30" x14ac:dyDescent="0.25">
      <c r="A282" s="29" t="s">
        <v>494</v>
      </c>
      <c r="B282" s="29" t="s">
        <v>485</v>
      </c>
      <c r="C282" s="29" t="s">
        <v>120</v>
      </c>
      <c r="D282" s="29" t="str">
        <f>IF($C282="","",INDEX([2]PLAN_DESARROLLO!$B:$B,MATCH($C282,[2]PLAN_DESARROLLO!$A:$A,0)))</f>
        <v>2024257770010</v>
      </c>
      <c r="E282" s="29" t="str">
        <f>IF($C282="","",INDEX([2]PLAN_DESARROLLO!$C:$C,MATCH($C282,[2]PLAN_DESARROLLO!$A:$A,0)))</f>
        <v>POR EL SUPATÁ SOÑADO AVANZAMOS JUNTOS EN LA LÍNEA ESTRATÉGICA SOCIAL</v>
      </c>
      <c r="F282" s="29" t="str">
        <f>IF($C282="","",INDEX([2]PLAN_DESARROLLO!$D:$D,MATCH($C282,[2]PLAN_DESARROLLO!$A:$A,0)))</f>
        <v>RECREACION Y DEPROTE</v>
      </c>
      <c r="G282" s="29" t="str">
        <f>IF($C282="","",INDEX([2]PLAN_DESARROLLO!$E:$E,MATCH($C282,[2]PLAN_DESARROLLO!$A:$A,0)))</f>
        <v>Realizar 2 estudios y diseños para infraestructura deportiva y recreativa en el municipio</v>
      </c>
      <c r="H282" s="30"/>
      <c r="I282" s="30"/>
      <c r="J282" s="31" t="str">
        <f t="shared" si="14"/>
        <v/>
      </c>
      <c r="K282" s="32"/>
      <c r="L282" s="32"/>
      <c r="M282" s="31" t="str">
        <f t="shared" si="15"/>
        <v/>
      </c>
      <c r="N282" s="29"/>
      <c r="O282" s="29"/>
      <c r="P282" s="29"/>
      <c r="Q282" s="29"/>
      <c r="R282" s="29"/>
      <c r="S282" s="29"/>
      <c r="T282" s="33">
        <f t="shared" ca="1" si="13"/>
        <v>46059</v>
      </c>
      <c r="U282" s="29"/>
    </row>
    <row r="283" spans="1:21" s="34" customFormat="1" ht="30" x14ac:dyDescent="0.25">
      <c r="A283" s="29" t="s">
        <v>498</v>
      </c>
      <c r="B283" s="29" t="s">
        <v>485</v>
      </c>
      <c r="C283" s="29" t="s">
        <v>120</v>
      </c>
      <c r="D283" s="29" t="str">
        <f>IF($C283="","",INDEX([2]PLAN_DESARROLLO!$B:$B,MATCH($C283,[2]PLAN_DESARROLLO!$A:$A,0)))</f>
        <v>2024257770010</v>
      </c>
      <c r="E283" s="29" t="str">
        <f>IF($C283="","",INDEX([2]PLAN_DESARROLLO!$C:$C,MATCH($C283,[2]PLAN_DESARROLLO!$A:$A,0)))</f>
        <v>POR EL SUPATÁ SOÑADO AVANZAMOS JUNTOS EN LA LÍNEA ESTRATÉGICA SOCIAL</v>
      </c>
      <c r="F283" s="29" t="str">
        <f>IF($C283="","",INDEX([2]PLAN_DESARROLLO!$D:$D,MATCH($C283,[2]PLAN_DESARROLLO!$A:$A,0)))</f>
        <v>RECREACION Y DEPROTE</v>
      </c>
      <c r="G283" s="29" t="str">
        <f>IF($C283="","",INDEX([2]PLAN_DESARROLLO!$E:$E,MATCH($C283,[2]PLAN_DESARROLLO!$A:$A,0)))</f>
        <v>Realizar 2 estudios y diseños para infraestructura deportiva y recreativa en el municipio</v>
      </c>
      <c r="H283" s="30"/>
      <c r="I283" s="30"/>
      <c r="J283" s="31" t="str">
        <f t="shared" si="14"/>
        <v/>
      </c>
      <c r="K283" s="32"/>
      <c r="L283" s="32"/>
      <c r="M283" s="31" t="str">
        <f t="shared" si="15"/>
        <v/>
      </c>
      <c r="N283" s="29"/>
      <c r="O283" s="29"/>
      <c r="P283" s="29"/>
      <c r="Q283" s="29"/>
      <c r="R283" s="29"/>
      <c r="S283" s="29"/>
      <c r="T283" s="33">
        <f t="shared" ca="1" si="13"/>
        <v>46059</v>
      </c>
      <c r="U283" s="29"/>
    </row>
    <row r="284" spans="1:21" s="35" customFormat="1" ht="30" x14ac:dyDescent="0.25">
      <c r="A284" s="24" t="s">
        <v>494</v>
      </c>
      <c r="B284" s="24" t="s">
        <v>485</v>
      </c>
      <c r="C284" s="24" t="s">
        <v>138</v>
      </c>
      <c r="D284" s="24" t="str">
        <f>IF($C284="","",INDEX([2]PLAN_DESARROLLO!$B:$B,MATCH($C284,[2]PLAN_DESARROLLO!$A:$A,0)))</f>
        <v>2024257770012</v>
      </c>
      <c r="E284" s="24" t="str">
        <f>IF($C284="","",INDEX([2]PLAN_DESARROLLO!$C:$C,MATCH($C284,[2]PLAN_DESARROLLO!$A:$A,0)))</f>
        <v>POR EL SUPATÁ SOÑADO AVANZAMOS JUNTOS EN LA LÍNEA ESTRATÉGICA SOCIAL</v>
      </c>
      <c r="F284" s="24" t="str">
        <f>IF($C284="","",INDEX([2]PLAN_DESARROLLO!$D:$D,MATCH($C284,[2]PLAN_DESARROLLO!$A:$A,0)))</f>
        <v>POBLACIÓN VULNERABLE - CAPITULO PRIMERA INFANCIA, INFANCIA, ADOLESCENCIA Y JUVENTUD</v>
      </c>
      <c r="G284" s="24" t="str">
        <f>IF($C284="","",INDEX([2]PLAN_DESARROLLO!$E:$E,MATCH($C284,[2]PLAN_DESARROLLO!$A:$A,0)))</f>
        <v>Realizar cuatro (4) campañas de educación sexual y derechos reproductivos a los adolescentes y jovenes del municipio</v>
      </c>
      <c r="H284" s="25">
        <v>4</v>
      </c>
      <c r="I284" s="25">
        <v>6</v>
      </c>
      <c r="J284" s="26">
        <f t="shared" si="14"/>
        <v>1.5</v>
      </c>
      <c r="K284" s="27">
        <v>0</v>
      </c>
      <c r="L284" s="27">
        <v>0</v>
      </c>
      <c r="M284" s="26">
        <f t="shared" si="15"/>
        <v>0</v>
      </c>
      <c r="N284" s="24" t="s">
        <v>660</v>
      </c>
      <c r="O284" s="24"/>
      <c r="P284" s="24" t="s">
        <v>502</v>
      </c>
      <c r="Q284" s="24" t="s">
        <v>506</v>
      </c>
      <c r="R284" s="24"/>
      <c r="S284" s="24"/>
      <c r="T284" s="28">
        <f t="shared" ca="1" si="13"/>
        <v>46059</v>
      </c>
      <c r="U284" s="24"/>
    </row>
    <row r="285" spans="1:21" s="35" customFormat="1" ht="30" x14ac:dyDescent="0.25">
      <c r="A285" s="24" t="s">
        <v>498</v>
      </c>
      <c r="B285" s="24" t="s">
        <v>485</v>
      </c>
      <c r="C285" s="24" t="s">
        <v>138</v>
      </c>
      <c r="D285" s="24" t="str">
        <f>IF($C285="","",INDEX([2]PLAN_DESARROLLO!$B:$B,MATCH($C285,[2]PLAN_DESARROLLO!$A:$A,0)))</f>
        <v>2024257770012</v>
      </c>
      <c r="E285" s="24" t="str">
        <f>IF($C285="","",INDEX([2]PLAN_DESARROLLO!$C:$C,MATCH($C285,[2]PLAN_DESARROLLO!$A:$A,0)))</f>
        <v>POR EL SUPATÁ SOÑADO AVANZAMOS JUNTOS EN LA LÍNEA ESTRATÉGICA SOCIAL</v>
      </c>
      <c r="F285" s="24" t="str">
        <f>IF($C285="","",INDEX([2]PLAN_DESARROLLO!$D:$D,MATCH($C285,[2]PLAN_DESARROLLO!$A:$A,0)))</f>
        <v>POBLACIÓN VULNERABLE - CAPITULO PRIMERA INFANCIA, INFANCIA, ADOLESCENCIA Y JUVENTUD</v>
      </c>
      <c r="G285" s="24" t="str">
        <f>IF($C285="","",INDEX([2]PLAN_DESARROLLO!$E:$E,MATCH($C285,[2]PLAN_DESARROLLO!$A:$A,0)))</f>
        <v>Realizar cuatro (4) campañas de educación sexual y derechos reproductivos a los adolescentes y jovenes del municipio</v>
      </c>
      <c r="H285" s="25">
        <v>4</v>
      </c>
      <c r="I285" s="25">
        <v>5</v>
      </c>
      <c r="J285" s="26">
        <f t="shared" si="14"/>
        <v>1.25</v>
      </c>
      <c r="K285" s="27">
        <v>0</v>
      </c>
      <c r="L285" s="27">
        <v>0</v>
      </c>
      <c r="M285" s="26">
        <f t="shared" si="15"/>
        <v>0</v>
      </c>
      <c r="N285" s="24" t="s">
        <v>660</v>
      </c>
      <c r="O285" s="24"/>
      <c r="P285" s="24" t="s">
        <v>502</v>
      </c>
      <c r="Q285" s="24" t="s">
        <v>506</v>
      </c>
      <c r="R285" s="24"/>
      <c r="S285" s="24"/>
      <c r="T285" s="28">
        <f t="shared" ca="1" si="13"/>
        <v>46059</v>
      </c>
      <c r="U285" s="24"/>
    </row>
    <row r="286" spans="1:21" s="35" customFormat="1" ht="30" x14ac:dyDescent="0.25">
      <c r="A286" s="24" t="s">
        <v>494</v>
      </c>
      <c r="B286" s="24" t="s">
        <v>485</v>
      </c>
      <c r="C286" s="24" t="s">
        <v>142</v>
      </c>
      <c r="D286" s="24" t="str">
        <f>IF($C286="","",INDEX([2]PLAN_DESARROLLO!$B:$B,MATCH($C286,[2]PLAN_DESARROLLO!$A:$A,0)))</f>
        <v>2024257770012</v>
      </c>
      <c r="E286" s="24" t="str">
        <f>IF($C286="","",INDEX([2]PLAN_DESARROLLO!$C:$C,MATCH($C286,[2]PLAN_DESARROLLO!$A:$A,0)))</f>
        <v>POR EL SUPATÁ SOÑADO AVANZAMOS JUNTOS EN LA LÍNEA ESTRATÉGICA SOCIAL</v>
      </c>
      <c r="F286" s="24" t="str">
        <f>IF($C286="","",INDEX([2]PLAN_DESARROLLO!$D:$D,MATCH($C286,[2]PLAN_DESARROLLO!$A:$A,0)))</f>
        <v>POBLACIÓN VULNERABLE - CAPITULO PRIMERA INFANCIA, INFANCIA, ADOLESCENCIA Y JUVENTUD</v>
      </c>
      <c r="G286" s="24" t="str">
        <f>IF($C286="","",INDEX([2]PLAN_DESARROLLO!$E:$E,MATCH($C286,[2]PLAN_DESARROLLO!$A:$A,0)))</f>
        <v>Realizar cuatro (4) campañas de prevencion de embarazado en mujeres adolescentes</v>
      </c>
      <c r="H286" s="25">
        <v>4</v>
      </c>
      <c r="I286" s="25">
        <v>2</v>
      </c>
      <c r="J286" s="26">
        <f t="shared" si="14"/>
        <v>0.5</v>
      </c>
      <c r="K286" s="27">
        <v>0</v>
      </c>
      <c r="L286" s="27">
        <v>0</v>
      </c>
      <c r="M286" s="26">
        <f t="shared" si="15"/>
        <v>0</v>
      </c>
      <c r="N286" s="24" t="s">
        <v>660</v>
      </c>
      <c r="O286" s="24"/>
      <c r="P286" s="24" t="s">
        <v>502</v>
      </c>
      <c r="Q286" s="24" t="s">
        <v>506</v>
      </c>
      <c r="R286" s="24"/>
      <c r="S286" s="24"/>
      <c r="T286" s="28">
        <f t="shared" ca="1" si="13"/>
        <v>46059</v>
      </c>
      <c r="U286" s="24"/>
    </row>
    <row r="287" spans="1:21" s="35" customFormat="1" ht="30" x14ac:dyDescent="0.25">
      <c r="A287" s="24" t="s">
        <v>498</v>
      </c>
      <c r="B287" s="24" t="s">
        <v>485</v>
      </c>
      <c r="C287" s="24" t="s">
        <v>142</v>
      </c>
      <c r="D287" s="24" t="str">
        <f>IF($C287="","",INDEX([2]PLAN_DESARROLLO!$B:$B,MATCH($C287,[2]PLAN_DESARROLLO!$A:$A,0)))</f>
        <v>2024257770012</v>
      </c>
      <c r="E287" s="24" t="str">
        <f>IF($C287="","",INDEX([2]PLAN_DESARROLLO!$C:$C,MATCH($C287,[2]PLAN_DESARROLLO!$A:$A,0)))</f>
        <v>POR EL SUPATÁ SOÑADO AVANZAMOS JUNTOS EN LA LÍNEA ESTRATÉGICA SOCIAL</v>
      </c>
      <c r="F287" s="24" t="str">
        <f>IF($C287="","",INDEX([2]PLAN_DESARROLLO!$D:$D,MATCH($C287,[2]PLAN_DESARROLLO!$A:$A,0)))</f>
        <v>POBLACIÓN VULNERABLE - CAPITULO PRIMERA INFANCIA, INFANCIA, ADOLESCENCIA Y JUVENTUD</v>
      </c>
      <c r="G287" s="24" t="str">
        <f>IF($C287="","",INDEX([2]PLAN_DESARROLLO!$E:$E,MATCH($C287,[2]PLAN_DESARROLLO!$A:$A,0)))</f>
        <v>Realizar cuatro (4) campañas de prevencion de embarazado en mujeres adolescentes</v>
      </c>
      <c r="H287" s="25">
        <v>4</v>
      </c>
      <c r="I287" s="25">
        <v>2</v>
      </c>
      <c r="J287" s="26">
        <f t="shared" si="14"/>
        <v>0.5</v>
      </c>
      <c r="K287" s="27">
        <v>0</v>
      </c>
      <c r="L287" s="27">
        <v>0</v>
      </c>
      <c r="M287" s="26">
        <f t="shared" si="15"/>
        <v>0</v>
      </c>
      <c r="N287" s="24" t="s">
        <v>660</v>
      </c>
      <c r="O287" s="24"/>
      <c r="P287" s="24" t="s">
        <v>502</v>
      </c>
      <c r="Q287" s="24" t="s">
        <v>506</v>
      </c>
      <c r="R287" s="24"/>
      <c r="S287" s="24"/>
      <c r="T287" s="28">
        <f t="shared" ca="1" si="13"/>
        <v>46059</v>
      </c>
      <c r="U287" s="24"/>
    </row>
    <row r="288" spans="1:21" s="35" customFormat="1" ht="30" x14ac:dyDescent="0.25">
      <c r="A288" s="24" t="s">
        <v>494</v>
      </c>
      <c r="B288" s="24" t="s">
        <v>485</v>
      </c>
      <c r="C288" s="24" t="s">
        <v>145</v>
      </c>
      <c r="D288" s="24" t="str">
        <f>IF($C288="","",INDEX([2]PLAN_DESARROLLO!$B:$B,MATCH($C288,[2]PLAN_DESARROLLO!$A:$A,0)))</f>
        <v>2024257770012</v>
      </c>
      <c r="E288" s="24" t="str">
        <f>IF($C288="","",INDEX([2]PLAN_DESARROLLO!$C:$C,MATCH($C288,[2]PLAN_DESARROLLO!$A:$A,0)))</f>
        <v>POR EL SUPATÁ SOÑADO AVANZAMOS JUNTOS EN LA LÍNEA ESTRATÉGICA SOCIAL</v>
      </c>
      <c r="F288" s="24" t="str">
        <f>IF($C288="","",INDEX([2]PLAN_DESARROLLO!$D:$D,MATCH($C288,[2]PLAN_DESARROLLO!$A:$A,0)))</f>
        <v>POBLACIÓN VULNERABLE - CAPITULO PRIMERA INFANCIA, INFANCIA, ADOLESCENCIA Y JUVENTUD</v>
      </c>
      <c r="G288" s="24" t="str">
        <f>IF($C288="","",INDEX([2]PLAN_DESARROLLO!$E:$E,MATCH($C288,[2]PLAN_DESARROLLO!$A:$A,0)))</f>
        <v>Realizar cuatro (4) talleres en reconocimiento de los derechos de niños, niñas y adolescentes</v>
      </c>
      <c r="H288" s="25">
        <v>4</v>
      </c>
      <c r="I288" s="25">
        <v>4</v>
      </c>
      <c r="J288" s="26">
        <f t="shared" si="14"/>
        <v>1</v>
      </c>
      <c r="K288" s="27">
        <v>0</v>
      </c>
      <c r="L288" s="27">
        <v>0</v>
      </c>
      <c r="M288" s="26">
        <f t="shared" si="15"/>
        <v>0</v>
      </c>
      <c r="N288" s="24" t="s">
        <v>661</v>
      </c>
      <c r="O288" s="24"/>
      <c r="P288" s="24" t="s">
        <v>502</v>
      </c>
      <c r="Q288" s="24" t="s">
        <v>506</v>
      </c>
      <c r="R288" s="24"/>
      <c r="S288" s="24"/>
      <c r="T288" s="28">
        <f t="shared" ca="1" si="13"/>
        <v>46059</v>
      </c>
      <c r="U288" s="24"/>
    </row>
    <row r="289" spans="1:21" s="35" customFormat="1" ht="30" x14ac:dyDescent="0.25">
      <c r="A289" s="24" t="s">
        <v>498</v>
      </c>
      <c r="B289" s="24" t="s">
        <v>485</v>
      </c>
      <c r="C289" s="24" t="s">
        <v>145</v>
      </c>
      <c r="D289" s="24" t="str">
        <f>IF($C289="","",INDEX([2]PLAN_DESARROLLO!$B:$B,MATCH($C289,[2]PLAN_DESARROLLO!$A:$A,0)))</f>
        <v>2024257770012</v>
      </c>
      <c r="E289" s="24" t="str">
        <f>IF($C289="","",INDEX([2]PLAN_DESARROLLO!$C:$C,MATCH($C289,[2]PLAN_DESARROLLO!$A:$A,0)))</f>
        <v>POR EL SUPATÁ SOÑADO AVANZAMOS JUNTOS EN LA LÍNEA ESTRATÉGICA SOCIAL</v>
      </c>
      <c r="F289" s="24" t="str">
        <f>IF($C289="","",INDEX([2]PLAN_DESARROLLO!$D:$D,MATCH($C289,[2]PLAN_DESARROLLO!$A:$A,0)))</f>
        <v>POBLACIÓN VULNERABLE - CAPITULO PRIMERA INFANCIA, INFANCIA, ADOLESCENCIA Y JUVENTUD</v>
      </c>
      <c r="G289" s="24" t="str">
        <f>IF($C289="","",INDEX([2]PLAN_DESARROLLO!$E:$E,MATCH($C289,[2]PLAN_DESARROLLO!$A:$A,0)))</f>
        <v>Realizar cuatro (4) talleres en reconocimiento de los derechos de niños, niñas y adolescentes</v>
      </c>
      <c r="H289" s="25">
        <v>4</v>
      </c>
      <c r="I289" s="25">
        <v>5</v>
      </c>
      <c r="J289" s="26">
        <f t="shared" si="14"/>
        <v>1.25</v>
      </c>
      <c r="K289" s="27">
        <v>0</v>
      </c>
      <c r="L289" s="27">
        <v>0</v>
      </c>
      <c r="M289" s="26">
        <f t="shared" si="15"/>
        <v>0</v>
      </c>
      <c r="N289" s="24" t="s">
        <v>661</v>
      </c>
      <c r="O289" s="24"/>
      <c r="P289" s="24" t="s">
        <v>502</v>
      </c>
      <c r="Q289" s="24" t="s">
        <v>506</v>
      </c>
      <c r="R289" s="24"/>
      <c r="S289" s="24"/>
      <c r="T289" s="28">
        <f t="shared" ca="1" si="13"/>
        <v>46059</v>
      </c>
      <c r="U289" s="24"/>
    </row>
    <row r="290" spans="1:21" s="35" customFormat="1" ht="30" x14ac:dyDescent="0.25">
      <c r="A290" s="24" t="s">
        <v>494</v>
      </c>
      <c r="B290" s="24" t="s">
        <v>485</v>
      </c>
      <c r="C290" s="24" t="s">
        <v>147</v>
      </c>
      <c r="D290" s="24" t="str">
        <f>IF($C290="","",INDEX([2]PLAN_DESARROLLO!$B:$B,MATCH($C290,[2]PLAN_DESARROLLO!$A:$A,0)))</f>
        <v>2024257770012</v>
      </c>
      <c r="E290" s="24" t="str">
        <f>IF($C290="","",INDEX([2]PLAN_DESARROLLO!$C:$C,MATCH($C290,[2]PLAN_DESARROLLO!$A:$A,0)))</f>
        <v>POR EL SUPATÁ SOÑADO AVANZAMOS JUNTOS EN LA LÍNEA ESTRATÉGICA SOCIAL</v>
      </c>
      <c r="F290" s="24" t="str">
        <f>IF($C290="","",INDEX([2]PLAN_DESARROLLO!$D:$D,MATCH($C290,[2]PLAN_DESARROLLO!$A:$A,0)))</f>
        <v>POBLACIÓN VULNERABLE - CAPITULO PRIMERA INFANCIA, INFANCIA, ADOLESCENCIA Y JUVENTUD</v>
      </c>
      <c r="G290" s="24" t="str">
        <f>IF($C290="","",INDEX([2]PLAN_DESARROLLO!$E:$E,MATCH($C290,[2]PLAN_DESARROLLO!$A:$A,0)))</f>
        <v>Realizar cuatro (4) campañas para la proteccioón y prevención del maltrato infantil</v>
      </c>
      <c r="H290" s="25">
        <v>4</v>
      </c>
      <c r="I290" s="25">
        <v>4</v>
      </c>
      <c r="J290" s="26">
        <f t="shared" si="14"/>
        <v>1</v>
      </c>
      <c r="K290" s="27">
        <v>0</v>
      </c>
      <c r="L290" s="27">
        <v>0</v>
      </c>
      <c r="M290" s="26">
        <v>0</v>
      </c>
      <c r="N290" s="24" t="s">
        <v>661</v>
      </c>
      <c r="O290" s="24"/>
      <c r="P290" s="24" t="s">
        <v>502</v>
      </c>
      <c r="Q290" s="24" t="s">
        <v>506</v>
      </c>
      <c r="R290" s="24"/>
      <c r="S290" s="24"/>
      <c r="T290" s="28">
        <f t="shared" ca="1" si="13"/>
        <v>46059</v>
      </c>
      <c r="U290" s="24"/>
    </row>
    <row r="291" spans="1:21" s="35" customFormat="1" ht="30" x14ac:dyDescent="0.25">
      <c r="A291" s="24" t="s">
        <v>498</v>
      </c>
      <c r="B291" s="24" t="s">
        <v>485</v>
      </c>
      <c r="C291" s="24" t="s">
        <v>147</v>
      </c>
      <c r="D291" s="24" t="str">
        <f>IF($C291="","",INDEX([2]PLAN_DESARROLLO!$B:$B,MATCH($C291,[2]PLAN_DESARROLLO!$A:$A,0)))</f>
        <v>2024257770012</v>
      </c>
      <c r="E291" s="24" t="str">
        <f>IF($C291="","",INDEX([2]PLAN_DESARROLLO!$C:$C,MATCH($C291,[2]PLAN_DESARROLLO!$A:$A,0)))</f>
        <v>POR EL SUPATÁ SOÑADO AVANZAMOS JUNTOS EN LA LÍNEA ESTRATÉGICA SOCIAL</v>
      </c>
      <c r="F291" s="24" t="str">
        <f>IF($C291="","",INDEX([2]PLAN_DESARROLLO!$D:$D,MATCH($C291,[2]PLAN_DESARROLLO!$A:$A,0)))</f>
        <v>POBLACIÓN VULNERABLE - CAPITULO PRIMERA INFANCIA, INFANCIA, ADOLESCENCIA Y JUVENTUD</v>
      </c>
      <c r="G291" s="24" t="str">
        <f>IF($C291="","",INDEX([2]PLAN_DESARROLLO!$E:$E,MATCH($C291,[2]PLAN_DESARROLLO!$A:$A,0)))</f>
        <v>Realizar cuatro (4) campañas para la proteccioón y prevención del maltrato infantil</v>
      </c>
      <c r="H291" s="25">
        <v>4</v>
      </c>
      <c r="I291" s="25">
        <v>2</v>
      </c>
      <c r="J291" s="26">
        <f t="shared" si="14"/>
        <v>0.5</v>
      </c>
      <c r="K291" s="27">
        <v>0</v>
      </c>
      <c r="L291" s="27">
        <v>0</v>
      </c>
      <c r="M291" s="26">
        <f t="shared" si="15"/>
        <v>0</v>
      </c>
      <c r="N291" s="24" t="s">
        <v>661</v>
      </c>
      <c r="O291" s="24"/>
      <c r="P291" s="24" t="s">
        <v>502</v>
      </c>
      <c r="Q291" s="24" t="s">
        <v>506</v>
      </c>
      <c r="R291" s="24"/>
      <c r="S291" s="24"/>
      <c r="T291" s="28">
        <f t="shared" ca="1" si="13"/>
        <v>46059</v>
      </c>
      <c r="U291" s="24"/>
    </row>
    <row r="292" spans="1:21" s="35" customFormat="1" ht="30" x14ac:dyDescent="0.25">
      <c r="A292" s="24" t="s">
        <v>494</v>
      </c>
      <c r="B292" s="24" t="s">
        <v>485</v>
      </c>
      <c r="C292" s="24" t="s">
        <v>149</v>
      </c>
      <c r="D292" s="24" t="str">
        <f>IF($C292="","",INDEX([2]PLAN_DESARROLLO!$B:$B,MATCH($C292,[2]PLAN_DESARROLLO!$A:$A,0)))</f>
        <v>2024257770012</v>
      </c>
      <c r="E292" s="24" t="str">
        <f>IF($C292="","",INDEX([2]PLAN_DESARROLLO!$C:$C,MATCH($C292,[2]PLAN_DESARROLLO!$A:$A,0)))</f>
        <v>POR EL SUPATÁ SOÑADO AVANZAMOS JUNTOS EN LA LÍNEA ESTRATÉGICA SOCIAL</v>
      </c>
      <c r="F292" s="24" t="str">
        <f>IF($C292="","",INDEX([2]PLAN_DESARROLLO!$D:$D,MATCH($C292,[2]PLAN_DESARROLLO!$A:$A,0)))</f>
        <v>POBLACIÓN VULNERABLE - CAPITULO PRIMERA INFANCIA, INFANCIA, ADOLESCENCIA Y JUVENTUD</v>
      </c>
      <c r="G292" s="24" t="str">
        <f>IF($C292="","",INDEX([2]PLAN_DESARROLLO!$E:$E,MATCH($C292,[2]PLAN_DESARROLLO!$A:$A,0)))</f>
        <v>Realizar dotacion en material pedagógico para los programas de atención de primera infancia</v>
      </c>
      <c r="H292" s="25">
        <v>4</v>
      </c>
      <c r="I292" s="25">
        <v>1</v>
      </c>
      <c r="J292" s="26">
        <f t="shared" si="14"/>
        <v>0.25</v>
      </c>
      <c r="K292" s="27">
        <v>19200000</v>
      </c>
      <c r="L292" s="27">
        <v>19200000</v>
      </c>
      <c r="M292" s="26">
        <f t="shared" si="15"/>
        <v>1</v>
      </c>
      <c r="N292" s="24" t="s">
        <v>662</v>
      </c>
      <c r="O292" s="24"/>
      <c r="P292" s="24" t="s">
        <v>502</v>
      </c>
      <c r="Q292" s="24" t="s">
        <v>506</v>
      </c>
      <c r="R292" s="24"/>
      <c r="S292" s="24"/>
      <c r="T292" s="28">
        <f t="shared" ca="1" si="13"/>
        <v>46059</v>
      </c>
      <c r="U292" s="24"/>
    </row>
    <row r="293" spans="1:21" s="35" customFormat="1" ht="30" x14ac:dyDescent="0.25">
      <c r="A293" s="24" t="s">
        <v>498</v>
      </c>
      <c r="B293" s="24" t="s">
        <v>485</v>
      </c>
      <c r="C293" s="24" t="s">
        <v>149</v>
      </c>
      <c r="D293" s="24" t="str">
        <f>IF($C293="","",INDEX([2]PLAN_DESARROLLO!$B:$B,MATCH($C293,[2]PLAN_DESARROLLO!$A:$A,0)))</f>
        <v>2024257770012</v>
      </c>
      <c r="E293" s="24" t="str">
        <f>IF($C293="","",INDEX([2]PLAN_DESARROLLO!$C:$C,MATCH($C293,[2]PLAN_DESARROLLO!$A:$A,0)))</f>
        <v>POR EL SUPATÁ SOÑADO AVANZAMOS JUNTOS EN LA LÍNEA ESTRATÉGICA SOCIAL</v>
      </c>
      <c r="F293" s="24" t="str">
        <f>IF($C293="","",INDEX([2]PLAN_DESARROLLO!$D:$D,MATCH($C293,[2]PLAN_DESARROLLO!$A:$A,0)))</f>
        <v>POBLACIÓN VULNERABLE - CAPITULO PRIMERA INFANCIA, INFANCIA, ADOLESCENCIA Y JUVENTUD</v>
      </c>
      <c r="G293" s="24" t="str">
        <f>IF($C293="","",INDEX([2]PLAN_DESARROLLO!$E:$E,MATCH($C293,[2]PLAN_DESARROLLO!$A:$A,0)))</f>
        <v>Realizar dotacion en material pedagógico para los programas de atención de primera infancia</v>
      </c>
      <c r="H293" s="25">
        <v>4</v>
      </c>
      <c r="I293" s="25">
        <v>1</v>
      </c>
      <c r="J293" s="26">
        <f t="shared" si="14"/>
        <v>0.25</v>
      </c>
      <c r="K293" s="27">
        <v>0</v>
      </c>
      <c r="L293" s="27">
        <v>0</v>
      </c>
      <c r="M293" s="26">
        <f t="shared" si="15"/>
        <v>0</v>
      </c>
      <c r="N293" s="24"/>
      <c r="O293" s="24"/>
      <c r="P293" s="24"/>
      <c r="Q293" s="24"/>
      <c r="R293" s="24"/>
      <c r="S293" s="24"/>
      <c r="T293" s="28">
        <f t="shared" ca="1" si="13"/>
        <v>46059</v>
      </c>
      <c r="U293" s="24"/>
    </row>
    <row r="294" spans="1:21" s="35" customFormat="1" ht="30" x14ac:dyDescent="0.25">
      <c r="A294" s="24" t="s">
        <v>494</v>
      </c>
      <c r="B294" s="24" t="s">
        <v>485</v>
      </c>
      <c r="C294" s="24" t="s">
        <v>151</v>
      </c>
      <c r="D294" s="24" t="str">
        <f>IF($C294="","",INDEX([2]PLAN_DESARROLLO!$B:$B,MATCH($C294,[2]PLAN_DESARROLLO!$A:$A,0)))</f>
        <v>2024257770012</v>
      </c>
      <c r="E294" s="24" t="str">
        <f>IF($C294="","",INDEX([2]PLAN_DESARROLLO!$C:$C,MATCH($C294,[2]PLAN_DESARROLLO!$A:$A,0)))</f>
        <v>POR EL SUPATÁ SOÑADO AVANZAMOS JUNTOS EN LA LÍNEA ESTRATÉGICA SOCIAL</v>
      </c>
      <c r="F294" s="24" t="str">
        <f>IF($C294="","",INDEX([2]PLAN_DESARROLLO!$D:$D,MATCH($C294,[2]PLAN_DESARROLLO!$A:$A,0)))</f>
        <v>POBLACIÓN VULNERABLE - CAPITULO PRIMERA INFANCIA, INFANCIA, ADOLESCENCIA Y JUVENTUD</v>
      </c>
      <c r="G294" s="24" t="str">
        <f>IF($C294="","",INDEX([2]PLAN_DESARROLLO!$E:$E,MATCH($C294,[2]PLAN_DESARROLLO!$A:$A,0)))</f>
        <v>Realizar cuatro (4) campañas para el fortalecimiento familiar en el municipio</v>
      </c>
      <c r="H294" s="25">
        <v>4</v>
      </c>
      <c r="I294" s="25">
        <v>2</v>
      </c>
      <c r="J294" s="26">
        <f t="shared" si="14"/>
        <v>0.5</v>
      </c>
      <c r="K294" s="27">
        <v>0</v>
      </c>
      <c r="L294" s="27">
        <v>0</v>
      </c>
      <c r="M294" s="26">
        <f t="shared" si="15"/>
        <v>0</v>
      </c>
      <c r="N294" s="24" t="s">
        <v>661</v>
      </c>
      <c r="O294" s="24"/>
      <c r="P294" s="24" t="s">
        <v>502</v>
      </c>
      <c r="Q294" s="24" t="s">
        <v>506</v>
      </c>
      <c r="R294" s="24"/>
      <c r="S294" s="24"/>
      <c r="T294" s="28">
        <f t="shared" ca="1" si="13"/>
        <v>46059</v>
      </c>
      <c r="U294" s="24"/>
    </row>
    <row r="295" spans="1:21" s="35" customFormat="1" ht="30" x14ac:dyDescent="0.25">
      <c r="A295" s="24" t="s">
        <v>498</v>
      </c>
      <c r="B295" s="24" t="s">
        <v>485</v>
      </c>
      <c r="C295" s="24" t="s">
        <v>151</v>
      </c>
      <c r="D295" s="24" t="str">
        <f>IF($C295="","",INDEX([2]PLAN_DESARROLLO!$B:$B,MATCH($C295,[2]PLAN_DESARROLLO!$A:$A,0)))</f>
        <v>2024257770012</v>
      </c>
      <c r="E295" s="24" t="str">
        <f>IF($C295="","",INDEX([2]PLAN_DESARROLLO!$C:$C,MATCH($C295,[2]PLAN_DESARROLLO!$A:$A,0)))</f>
        <v>POR EL SUPATÁ SOÑADO AVANZAMOS JUNTOS EN LA LÍNEA ESTRATÉGICA SOCIAL</v>
      </c>
      <c r="F295" s="24" t="str">
        <f>IF($C295="","",INDEX([2]PLAN_DESARROLLO!$D:$D,MATCH($C295,[2]PLAN_DESARROLLO!$A:$A,0)))</f>
        <v>POBLACIÓN VULNERABLE - CAPITULO PRIMERA INFANCIA, INFANCIA, ADOLESCENCIA Y JUVENTUD</v>
      </c>
      <c r="G295" s="24" t="str">
        <f>IF($C295="","",INDEX([2]PLAN_DESARROLLO!$E:$E,MATCH($C295,[2]PLAN_DESARROLLO!$A:$A,0)))</f>
        <v>Realizar cuatro (4) campañas para el fortalecimiento familiar en el municipio</v>
      </c>
      <c r="H295" s="25">
        <v>4</v>
      </c>
      <c r="I295" s="25">
        <v>1</v>
      </c>
      <c r="J295" s="26">
        <f t="shared" si="14"/>
        <v>0.25</v>
      </c>
      <c r="K295" s="27">
        <v>0</v>
      </c>
      <c r="L295" s="27">
        <v>0</v>
      </c>
      <c r="M295" s="26">
        <f t="shared" si="15"/>
        <v>0</v>
      </c>
      <c r="N295" s="24" t="s">
        <v>661</v>
      </c>
      <c r="O295" s="24"/>
      <c r="P295" s="24" t="s">
        <v>502</v>
      </c>
      <c r="Q295" s="24" t="s">
        <v>506</v>
      </c>
      <c r="R295" s="24"/>
      <c r="S295" s="24"/>
      <c r="T295" s="28">
        <f t="shared" ca="1" si="13"/>
        <v>46059</v>
      </c>
      <c r="U295" s="24"/>
    </row>
    <row r="296" spans="1:21" s="35" customFormat="1" ht="45" x14ac:dyDescent="0.25">
      <c r="A296" s="24" t="s">
        <v>494</v>
      </c>
      <c r="B296" s="24" t="s">
        <v>485</v>
      </c>
      <c r="C296" s="24" t="s">
        <v>153</v>
      </c>
      <c r="D296" s="24" t="str">
        <f>IF($C296="","",INDEX([2]PLAN_DESARROLLO!$B:$B,MATCH($C296,[2]PLAN_DESARROLLO!$A:$A,0)))</f>
        <v>2024257770012</v>
      </c>
      <c r="E296" s="24" t="str">
        <f>IF($C296="","",INDEX([2]PLAN_DESARROLLO!$C:$C,MATCH($C296,[2]PLAN_DESARROLLO!$A:$A,0)))</f>
        <v>POR EL SUPATÁ SOÑADO AVANZAMOS JUNTOS EN LA LÍNEA ESTRATÉGICA SOCIAL</v>
      </c>
      <c r="F296" s="24" t="str">
        <f>IF($C296="","",INDEX([2]PLAN_DESARROLLO!$D:$D,MATCH($C296,[2]PLAN_DESARROLLO!$A:$A,0)))</f>
        <v>POBLACIÓN VULNERABLE - CAPITULO PRIMERA INFANCIA, INFANCIA, ADOLESCENCIA Y JUVENTUD</v>
      </c>
      <c r="G296" s="24" t="str">
        <f>IF($C296="","",INDEX([2]PLAN_DESARROLLO!$E:$E,MATCH($C296,[2]PLAN_DESARROLLO!$A:$A,0)))</f>
        <v>Realizar las acciones necesarias para el aumento de 1 unidad o cupos en la atención del programa “Educación Rural Dispersa”. (VERIFICAR SI ES META DE PRIMERA INFANCIA)</v>
      </c>
      <c r="H296" s="25">
        <v>4</v>
      </c>
      <c r="I296" s="25">
        <v>1</v>
      </c>
      <c r="J296" s="26">
        <f t="shared" si="14"/>
        <v>0.25</v>
      </c>
      <c r="K296" s="27">
        <v>0</v>
      </c>
      <c r="L296" s="27">
        <v>0</v>
      </c>
      <c r="M296" s="26">
        <f t="shared" si="15"/>
        <v>0</v>
      </c>
      <c r="N296" s="24" t="s">
        <v>663</v>
      </c>
      <c r="O296" s="24"/>
      <c r="P296" s="24" t="s">
        <v>502</v>
      </c>
      <c r="Q296" s="24"/>
      <c r="R296" s="24"/>
      <c r="S296" s="24"/>
      <c r="T296" s="28">
        <f t="shared" ca="1" si="13"/>
        <v>46059</v>
      </c>
      <c r="U296" s="24"/>
    </row>
    <row r="297" spans="1:21" s="35" customFormat="1" ht="45" x14ac:dyDescent="0.25">
      <c r="A297" s="24" t="s">
        <v>498</v>
      </c>
      <c r="B297" s="24" t="s">
        <v>485</v>
      </c>
      <c r="C297" s="24" t="s">
        <v>153</v>
      </c>
      <c r="D297" s="24" t="str">
        <f>IF($C297="","",INDEX([2]PLAN_DESARROLLO!$B:$B,MATCH($C297,[2]PLAN_DESARROLLO!$A:$A,0)))</f>
        <v>2024257770012</v>
      </c>
      <c r="E297" s="24" t="str">
        <f>IF($C297="","",INDEX([2]PLAN_DESARROLLO!$C:$C,MATCH($C297,[2]PLAN_DESARROLLO!$A:$A,0)))</f>
        <v>POR EL SUPATÁ SOÑADO AVANZAMOS JUNTOS EN LA LÍNEA ESTRATÉGICA SOCIAL</v>
      </c>
      <c r="F297" s="24" t="str">
        <f>IF($C297="","",INDEX([2]PLAN_DESARROLLO!$D:$D,MATCH($C297,[2]PLAN_DESARROLLO!$A:$A,0)))</f>
        <v>POBLACIÓN VULNERABLE - CAPITULO PRIMERA INFANCIA, INFANCIA, ADOLESCENCIA Y JUVENTUD</v>
      </c>
      <c r="G297" s="24" t="str">
        <f>IF($C297="","",INDEX([2]PLAN_DESARROLLO!$E:$E,MATCH($C297,[2]PLAN_DESARROLLO!$A:$A,0)))</f>
        <v>Realizar las acciones necesarias para el aumento de 1 unidad o cupos en la atención del programa “Educación Rural Dispersa”. (VERIFICAR SI ES META DE PRIMERA INFANCIA)</v>
      </c>
      <c r="H297" s="25">
        <v>4</v>
      </c>
      <c r="I297" s="25">
        <v>1</v>
      </c>
      <c r="J297" s="26">
        <f t="shared" si="14"/>
        <v>0.25</v>
      </c>
      <c r="K297" s="27">
        <v>0</v>
      </c>
      <c r="L297" s="27">
        <v>0</v>
      </c>
      <c r="M297" s="26">
        <v>0</v>
      </c>
      <c r="N297" s="24" t="s">
        <v>663</v>
      </c>
      <c r="O297" s="24"/>
      <c r="P297" s="24" t="s">
        <v>502</v>
      </c>
      <c r="Q297" s="24"/>
      <c r="R297" s="24"/>
      <c r="S297" s="24"/>
      <c r="T297" s="28">
        <f t="shared" ca="1" si="13"/>
        <v>46059</v>
      </c>
      <c r="U297" s="24"/>
    </row>
    <row r="298" spans="1:21" s="35" customFormat="1" ht="30" x14ac:dyDescent="0.25">
      <c r="A298" s="24" t="s">
        <v>494</v>
      </c>
      <c r="B298" s="24" t="s">
        <v>485</v>
      </c>
      <c r="C298" s="24" t="s">
        <v>155</v>
      </c>
      <c r="D298" s="24" t="str">
        <f>IF($C298="","",INDEX([2]PLAN_DESARROLLO!$B:$B,MATCH($C298,[2]PLAN_DESARROLLO!$A:$A,0)))</f>
        <v>2024257770012</v>
      </c>
      <c r="E298" s="24" t="str">
        <f>IF($C298="","",INDEX([2]PLAN_DESARROLLO!$C:$C,MATCH($C298,[2]PLAN_DESARROLLO!$A:$A,0)))</f>
        <v>POR EL SUPATÁ SOÑADO AVANZAMOS JUNTOS EN LA LÍNEA ESTRATÉGICA SOCIAL</v>
      </c>
      <c r="F298" s="24" t="str">
        <f>IF($C298="","",INDEX([2]PLAN_DESARROLLO!$D:$D,MATCH($C298,[2]PLAN_DESARROLLO!$A:$A,0)))</f>
        <v>POBLACIÓN VULNERABLE - CAPITULO PRIMERA INFANCIA, INFANCIA, ADOLESCENCIA Y JUVENTUD</v>
      </c>
      <c r="G298" s="24" t="str">
        <f>IF($C298="","",INDEX([2]PLAN_DESARROLLO!$E:$E,MATCH($C298,[2]PLAN_DESARROLLO!$A:$A,0)))</f>
        <v>Realizar campañas anuales para la prevención de la conducta suicida, en niños, niñas, adolescentes y jovenes</v>
      </c>
      <c r="H298" s="25">
        <v>4</v>
      </c>
      <c r="I298" s="25">
        <v>3</v>
      </c>
      <c r="J298" s="26">
        <f t="shared" si="14"/>
        <v>0.75</v>
      </c>
      <c r="K298" s="27">
        <v>0</v>
      </c>
      <c r="L298" s="27">
        <v>0</v>
      </c>
      <c r="M298" s="26">
        <f t="shared" si="15"/>
        <v>0</v>
      </c>
      <c r="N298" s="24" t="s">
        <v>664</v>
      </c>
      <c r="O298" s="24"/>
      <c r="P298" s="24" t="s">
        <v>502</v>
      </c>
      <c r="Q298" s="24" t="s">
        <v>506</v>
      </c>
      <c r="R298" s="24"/>
      <c r="S298" s="24"/>
      <c r="T298" s="28">
        <f t="shared" ca="1" si="13"/>
        <v>46059</v>
      </c>
      <c r="U298" s="24"/>
    </row>
    <row r="299" spans="1:21" s="35" customFormat="1" ht="30" x14ac:dyDescent="0.25">
      <c r="A299" s="24" t="s">
        <v>498</v>
      </c>
      <c r="B299" s="24" t="s">
        <v>485</v>
      </c>
      <c r="C299" s="24" t="s">
        <v>155</v>
      </c>
      <c r="D299" s="24" t="str">
        <f>IF($C299="","",INDEX([2]PLAN_DESARROLLO!$B:$B,MATCH($C299,[2]PLAN_DESARROLLO!$A:$A,0)))</f>
        <v>2024257770012</v>
      </c>
      <c r="E299" s="24" t="str">
        <f>IF($C299="","",INDEX([2]PLAN_DESARROLLO!$C:$C,MATCH($C299,[2]PLAN_DESARROLLO!$A:$A,0)))</f>
        <v>POR EL SUPATÁ SOÑADO AVANZAMOS JUNTOS EN LA LÍNEA ESTRATÉGICA SOCIAL</v>
      </c>
      <c r="F299" s="24" t="str">
        <f>IF($C299="","",INDEX([2]PLAN_DESARROLLO!$D:$D,MATCH($C299,[2]PLAN_DESARROLLO!$A:$A,0)))</f>
        <v>POBLACIÓN VULNERABLE - CAPITULO PRIMERA INFANCIA, INFANCIA, ADOLESCENCIA Y JUVENTUD</v>
      </c>
      <c r="G299" s="24" t="str">
        <f>IF($C299="","",INDEX([2]PLAN_DESARROLLO!$E:$E,MATCH($C299,[2]PLAN_DESARROLLO!$A:$A,0)))</f>
        <v>Realizar campañas anuales para la prevención de la conducta suicida, en niños, niñas, adolescentes y jovenes</v>
      </c>
      <c r="H299" s="25">
        <v>4</v>
      </c>
      <c r="I299" s="25">
        <v>3</v>
      </c>
      <c r="J299" s="26">
        <f t="shared" si="14"/>
        <v>0.75</v>
      </c>
      <c r="K299" s="27">
        <v>0</v>
      </c>
      <c r="L299" s="27">
        <v>0</v>
      </c>
      <c r="M299" s="26">
        <f t="shared" si="15"/>
        <v>0</v>
      </c>
      <c r="N299" s="24" t="s">
        <v>664</v>
      </c>
      <c r="O299" s="24"/>
      <c r="P299" s="24" t="s">
        <v>502</v>
      </c>
      <c r="Q299" s="24" t="s">
        <v>506</v>
      </c>
      <c r="R299" s="24"/>
      <c r="S299" s="24"/>
      <c r="T299" s="28">
        <f t="shared" ca="1" si="13"/>
        <v>46059</v>
      </c>
      <c r="U299" s="24"/>
    </row>
    <row r="300" spans="1:21" s="35" customFormat="1" ht="30" x14ac:dyDescent="0.25">
      <c r="A300" s="24" t="s">
        <v>494</v>
      </c>
      <c r="B300" s="24" t="s">
        <v>485</v>
      </c>
      <c r="C300" s="24" t="s">
        <v>157</v>
      </c>
      <c r="D300" s="24" t="str">
        <f>IF($C300="","",INDEX([2]PLAN_DESARROLLO!$B:$B,MATCH($C300,[2]PLAN_DESARROLLO!$A:$A,0)))</f>
        <v>2024257770012</v>
      </c>
      <c r="E300" s="24" t="str">
        <f>IF($C300="","",INDEX([2]PLAN_DESARROLLO!$C:$C,MATCH($C300,[2]PLAN_DESARROLLO!$A:$A,0)))</f>
        <v>POR EL SUPATÁ SOÑADO AVANZAMOS JUNTOS EN LA LÍNEA ESTRATÉGICA SOCIAL</v>
      </c>
      <c r="F300" s="24" t="str">
        <f>IF($C300="","",INDEX([2]PLAN_DESARROLLO!$D:$D,MATCH($C300,[2]PLAN_DESARROLLO!$A:$A,0)))</f>
        <v>POBLACIÓN VULNERABLE - CAPITULO PRIMERA INFANCIA, INFANCIA, ADOLESCENCIA Y JUVENTUD</v>
      </c>
      <c r="G300" s="24" t="str">
        <f>IF($C300="","",INDEX([2]PLAN_DESARROLLO!$E:$E,MATCH($C300,[2]PLAN_DESARROLLO!$A:$A,0)))</f>
        <v>Mantener a 100 niños de 0 a 5 años en establecimientos de educación inicial</v>
      </c>
      <c r="H300" s="25">
        <v>100</v>
      </c>
      <c r="I300" s="25">
        <v>150</v>
      </c>
      <c r="J300" s="26">
        <f t="shared" si="14"/>
        <v>1.5</v>
      </c>
      <c r="K300" s="27">
        <v>0</v>
      </c>
      <c r="L300" s="27">
        <v>0</v>
      </c>
      <c r="M300" s="26">
        <f t="shared" si="15"/>
        <v>0</v>
      </c>
      <c r="N300" s="24" t="s">
        <v>665</v>
      </c>
      <c r="O300" s="24"/>
      <c r="P300" s="24" t="s">
        <v>502</v>
      </c>
      <c r="Q300" s="24"/>
      <c r="R300" s="24"/>
      <c r="S300" s="24"/>
      <c r="T300" s="28">
        <f t="shared" ca="1" si="13"/>
        <v>46059</v>
      </c>
      <c r="U300" s="24"/>
    </row>
    <row r="301" spans="1:21" s="35" customFormat="1" ht="30" x14ac:dyDescent="0.25">
      <c r="A301" s="24" t="s">
        <v>498</v>
      </c>
      <c r="B301" s="24" t="s">
        <v>485</v>
      </c>
      <c r="C301" s="24" t="s">
        <v>157</v>
      </c>
      <c r="D301" s="24" t="str">
        <f>IF($C301="","",INDEX([2]PLAN_DESARROLLO!$B:$B,MATCH($C301,[2]PLAN_DESARROLLO!$A:$A,0)))</f>
        <v>2024257770012</v>
      </c>
      <c r="E301" s="24" t="str">
        <f>IF($C301="","",INDEX([2]PLAN_DESARROLLO!$C:$C,MATCH($C301,[2]PLAN_DESARROLLO!$A:$A,0)))</f>
        <v>POR EL SUPATÁ SOÑADO AVANZAMOS JUNTOS EN LA LÍNEA ESTRATÉGICA SOCIAL</v>
      </c>
      <c r="F301" s="24" t="str">
        <f>IF($C301="","",INDEX([2]PLAN_DESARROLLO!$D:$D,MATCH($C301,[2]PLAN_DESARROLLO!$A:$A,0)))</f>
        <v>POBLACIÓN VULNERABLE - CAPITULO PRIMERA INFANCIA, INFANCIA, ADOLESCENCIA Y JUVENTUD</v>
      </c>
      <c r="G301" s="24" t="str">
        <f>IF($C301="","",INDEX([2]PLAN_DESARROLLO!$E:$E,MATCH($C301,[2]PLAN_DESARROLLO!$A:$A,0)))</f>
        <v>Mantener a 100 niños de 0 a 5 años en establecimientos de educación inicial</v>
      </c>
      <c r="H301" s="25">
        <v>100</v>
      </c>
      <c r="I301" s="25">
        <v>150</v>
      </c>
      <c r="J301" s="26">
        <f t="shared" si="14"/>
        <v>1.5</v>
      </c>
      <c r="K301" s="27">
        <v>0</v>
      </c>
      <c r="L301" s="27">
        <v>0</v>
      </c>
      <c r="M301" s="26">
        <f t="shared" si="15"/>
        <v>0</v>
      </c>
      <c r="N301" s="24" t="s">
        <v>665</v>
      </c>
      <c r="O301" s="24"/>
      <c r="P301" s="24" t="s">
        <v>502</v>
      </c>
      <c r="Q301" s="24"/>
      <c r="R301" s="24"/>
      <c r="S301" s="24"/>
      <c r="T301" s="28">
        <f t="shared" ca="1" si="13"/>
        <v>46059</v>
      </c>
      <c r="U301" s="24"/>
    </row>
    <row r="302" spans="1:21" s="35" customFormat="1" ht="45" x14ac:dyDescent="0.25">
      <c r="A302" s="24" t="s">
        <v>494</v>
      </c>
      <c r="B302" s="24" t="s">
        <v>485</v>
      </c>
      <c r="C302" s="24" t="s">
        <v>159</v>
      </c>
      <c r="D302" s="24" t="str">
        <f>IF($C302="","",INDEX([2]PLAN_DESARROLLO!$B:$B,MATCH($C302,[2]PLAN_DESARROLLO!$A:$A,0)))</f>
        <v>2024257770012</v>
      </c>
      <c r="E302" s="24" t="str">
        <f>IF($C302="","",INDEX([2]PLAN_DESARROLLO!$C:$C,MATCH($C302,[2]PLAN_DESARROLLO!$A:$A,0)))</f>
        <v>POR EL SUPATÁ SOÑADO AVANZAMOS JUNTOS EN LA LÍNEA ESTRATÉGICA SOCIAL</v>
      </c>
      <c r="F302" s="24" t="str">
        <f>IF($C302="","",INDEX([2]PLAN_DESARROLLO!$D:$D,MATCH($C302,[2]PLAN_DESARROLLO!$A:$A,0)))</f>
        <v>POBLACIÓN VULNERABLE - CAPITULO PRIMERA INFANCIA, INFANCIA, ADOLESCENCIA Y JUVENTUD</v>
      </c>
      <c r="G302" s="24" t="str">
        <f>IF($C302="","",INDEX([2]PLAN_DESARROLLO!$E:$E,MATCH($C302,[2]PLAN_DESARROLLO!$A:$A,0)))</f>
        <v>Implementar un programa de apoyo integral a la juventud</v>
      </c>
      <c r="H302" s="25">
        <v>1</v>
      </c>
      <c r="I302" s="25">
        <v>1</v>
      </c>
      <c r="J302" s="26">
        <f t="shared" si="14"/>
        <v>1</v>
      </c>
      <c r="K302" s="27">
        <v>15000000</v>
      </c>
      <c r="L302" s="27">
        <v>15000000</v>
      </c>
      <c r="M302" s="26">
        <f t="shared" si="15"/>
        <v>1</v>
      </c>
      <c r="N302" s="24" t="s">
        <v>666</v>
      </c>
      <c r="O302" s="24"/>
      <c r="P302" s="24" t="s">
        <v>502</v>
      </c>
      <c r="Q302" s="24" t="s">
        <v>497</v>
      </c>
      <c r="R302" s="24"/>
      <c r="S302" s="24"/>
      <c r="T302" s="28">
        <f t="shared" ca="1" si="13"/>
        <v>46059</v>
      </c>
      <c r="U302" s="24"/>
    </row>
    <row r="303" spans="1:21" s="35" customFormat="1" ht="45" x14ac:dyDescent="0.25">
      <c r="A303" s="24" t="s">
        <v>498</v>
      </c>
      <c r="B303" s="24" t="s">
        <v>485</v>
      </c>
      <c r="C303" s="24" t="s">
        <v>159</v>
      </c>
      <c r="D303" s="24" t="str">
        <f>IF($C303="","",INDEX([2]PLAN_DESARROLLO!$B:$B,MATCH($C303,[2]PLAN_DESARROLLO!$A:$A,0)))</f>
        <v>2024257770012</v>
      </c>
      <c r="E303" s="24" t="str">
        <f>IF($C303="","",INDEX([2]PLAN_DESARROLLO!$C:$C,MATCH($C303,[2]PLAN_DESARROLLO!$A:$A,0)))</f>
        <v>POR EL SUPATÁ SOÑADO AVANZAMOS JUNTOS EN LA LÍNEA ESTRATÉGICA SOCIAL</v>
      </c>
      <c r="F303" s="24" t="str">
        <f>IF($C303="","",INDEX([2]PLAN_DESARROLLO!$D:$D,MATCH($C303,[2]PLAN_DESARROLLO!$A:$A,0)))</f>
        <v>POBLACIÓN VULNERABLE - CAPITULO PRIMERA INFANCIA, INFANCIA, ADOLESCENCIA Y JUVENTUD</v>
      </c>
      <c r="G303" s="24" t="str">
        <f>IF($C303="","",INDEX([2]PLAN_DESARROLLO!$E:$E,MATCH($C303,[2]PLAN_DESARROLLO!$A:$A,0)))</f>
        <v>Implementar un programa de apoyo integral a la juventud</v>
      </c>
      <c r="H303" s="25">
        <v>1</v>
      </c>
      <c r="I303" s="25">
        <v>1</v>
      </c>
      <c r="J303" s="26">
        <f t="shared" si="14"/>
        <v>1</v>
      </c>
      <c r="K303" s="27">
        <v>28011410</v>
      </c>
      <c r="L303" s="27">
        <v>28011410</v>
      </c>
      <c r="M303" s="26">
        <f t="shared" si="15"/>
        <v>1</v>
      </c>
      <c r="N303" s="24" t="s">
        <v>666</v>
      </c>
      <c r="O303" s="24"/>
      <c r="P303" s="24" t="s">
        <v>502</v>
      </c>
      <c r="Q303" s="24" t="s">
        <v>497</v>
      </c>
      <c r="R303" s="24"/>
      <c r="S303" s="24"/>
      <c r="T303" s="28">
        <f t="shared" ca="1" si="13"/>
        <v>46059</v>
      </c>
      <c r="U303" s="24"/>
    </row>
    <row r="304" spans="1:21" s="35" customFormat="1" ht="30" x14ac:dyDescent="0.25">
      <c r="A304" s="24" t="s">
        <v>494</v>
      </c>
      <c r="B304" s="24" t="s">
        <v>485</v>
      </c>
      <c r="C304" s="24" t="s">
        <v>161</v>
      </c>
      <c r="D304" s="24" t="str">
        <f>IF($C304="","",INDEX([2]PLAN_DESARROLLO!$B:$B,MATCH($C304,[2]PLAN_DESARROLLO!$A:$A,0)))</f>
        <v>2024257770013</v>
      </c>
      <c r="E304" s="24" t="str">
        <f>IF($C304="","",INDEX([2]PLAN_DESARROLLO!$C:$C,MATCH($C304,[2]PLAN_DESARROLLO!$A:$A,0)))</f>
        <v>POR EL SUPATÁ SOÑADO AVANZAMOS JUNTOS EN LA LÍNEA ESTRATÉGICA SOCIAL</v>
      </c>
      <c r="F304" s="24" t="str">
        <f>IF($C304="","",INDEX([2]PLAN_DESARROLLO!$D:$D,MATCH($C304,[2]PLAN_DESARROLLO!$A:$A,0)))</f>
        <v>POBLACIÓN VULNERABLE- CAPITULO MUJER Y GENERO</v>
      </c>
      <c r="G304" s="24" t="str">
        <f>IF($C304="","",INDEX([2]PLAN_DESARROLLO!$E:$E,MATCH($C304,[2]PLAN_DESARROLLO!$A:$A,0)))</f>
        <v>Construcción de (1)  centro de innovación empresarial casa social de la mujer.</v>
      </c>
      <c r="H304" s="25">
        <v>1</v>
      </c>
      <c r="I304" s="25">
        <v>0</v>
      </c>
      <c r="J304" s="26">
        <f t="shared" si="14"/>
        <v>0</v>
      </c>
      <c r="K304" s="27">
        <v>0</v>
      </c>
      <c r="L304" s="27">
        <v>0</v>
      </c>
      <c r="M304" s="26">
        <f t="shared" si="15"/>
        <v>0</v>
      </c>
      <c r="N304" s="24"/>
      <c r="O304" s="24"/>
      <c r="P304" s="24"/>
      <c r="Q304" s="24"/>
      <c r="R304" s="24"/>
      <c r="S304" s="24"/>
      <c r="T304" s="28">
        <f t="shared" ca="1" si="13"/>
        <v>46059</v>
      </c>
      <c r="U304" s="24"/>
    </row>
    <row r="305" spans="1:21" s="35" customFormat="1" ht="30" x14ac:dyDescent="0.25">
      <c r="A305" s="24" t="s">
        <v>498</v>
      </c>
      <c r="B305" s="24" t="s">
        <v>485</v>
      </c>
      <c r="C305" s="24" t="s">
        <v>161</v>
      </c>
      <c r="D305" s="24" t="str">
        <f>IF($C305="","",INDEX([2]PLAN_DESARROLLO!$B:$B,MATCH($C305,[2]PLAN_DESARROLLO!$A:$A,0)))</f>
        <v>2024257770013</v>
      </c>
      <c r="E305" s="24" t="str">
        <f>IF($C305="","",INDEX([2]PLAN_DESARROLLO!$C:$C,MATCH($C305,[2]PLAN_DESARROLLO!$A:$A,0)))</f>
        <v>POR EL SUPATÁ SOÑADO AVANZAMOS JUNTOS EN LA LÍNEA ESTRATÉGICA SOCIAL</v>
      </c>
      <c r="F305" s="24" t="str">
        <f>IF($C305="","",INDEX([2]PLAN_DESARROLLO!$D:$D,MATCH($C305,[2]PLAN_DESARROLLO!$A:$A,0)))</f>
        <v>POBLACIÓN VULNERABLE- CAPITULO MUJER Y GENERO</v>
      </c>
      <c r="G305" s="24" t="str">
        <f>IF($C305="","",INDEX([2]PLAN_DESARROLLO!$E:$E,MATCH($C305,[2]PLAN_DESARROLLO!$A:$A,0)))</f>
        <v>Construcción de (1)  centro de innovación empresarial casa social de la mujer.</v>
      </c>
      <c r="H305" s="25">
        <v>1</v>
      </c>
      <c r="I305" s="25">
        <v>0</v>
      </c>
      <c r="J305" s="26">
        <f t="shared" si="14"/>
        <v>0</v>
      </c>
      <c r="K305" s="27">
        <v>0</v>
      </c>
      <c r="L305" s="27">
        <v>0</v>
      </c>
      <c r="M305" s="26">
        <f t="shared" si="15"/>
        <v>0</v>
      </c>
      <c r="N305" s="24"/>
      <c r="O305" s="24"/>
      <c r="P305" s="24"/>
      <c r="Q305" s="24"/>
      <c r="R305" s="24"/>
      <c r="S305" s="24"/>
      <c r="T305" s="28">
        <f t="shared" ca="1" si="13"/>
        <v>46059</v>
      </c>
      <c r="U305" s="24"/>
    </row>
    <row r="306" spans="1:21" s="35" customFormat="1" ht="90" x14ac:dyDescent="0.25">
      <c r="A306" s="24" t="s">
        <v>494</v>
      </c>
      <c r="B306" s="24" t="s">
        <v>485</v>
      </c>
      <c r="C306" s="24" t="s">
        <v>165</v>
      </c>
      <c r="D306" s="24" t="str">
        <f>IF($C306="","",INDEX([2]PLAN_DESARROLLO!$B:$B,MATCH($C306,[2]PLAN_DESARROLLO!$A:$A,0)))</f>
        <v>2024257770013</v>
      </c>
      <c r="E306" s="24" t="str">
        <f>IF($C306="","",INDEX([2]PLAN_DESARROLLO!$C:$C,MATCH($C306,[2]PLAN_DESARROLLO!$A:$A,0)))</f>
        <v>POR EL SUPATÁ SOÑADO AVANZAMOS JUNTOS EN LA LÍNEA ESTRATÉGICA SOCIAL</v>
      </c>
      <c r="F306" s="24" t="str">
        <f>IF($C306="","",INDEX([2]PLAN_DESARROLLO!$D:$D,MATCH($C306,[2]PLAN_DESARROLLO!$A:$A,0)))</f>
        <v>POBLACIÓN VULNERABLE- CAPITULO MUJER Y GENERO</v>
      </c>
      <c r="G306" s="24" t="str">
        <f>IF($C306="","",INDEX([2]PLAN_DESARROLLO!$E:$E,MATCH($C306,[2]PLAN_DESARROLLO!$A:$A,0)))</f>
        <v>Realizar anualmente mecanismos para la articulacion, actualización, reactivación y seguimiento de las actividades del Consejo Consultivo de Mujeres, como instancia de representación de sus necesidades e interés</v>
      </c>
      <c r="H306" s="25">
        <v>4</v>
      </c>
      <c r="I306" s="25">
        <v>1</v>
      </c>
      <c r="J306" s="26">
        <f t="shared" si="14"/>
        <v>0.25</v>
      </c>
      <c r="K306" s="27">
        <v>6500000</v>
      </c>
      <c r="L306" s="27">
        <v>0</v>
      </c>
      <c r="M306" s="26">
        <f t="shared" si="15"/>
        <v>0</v>
      </c>
      <c r="N306" s="24" t="s">
        <v>667</v>
      </c>
      <c r="O306" s="24"/>
      <c r="P306" s="24"/>
      <c r="Q306" s="24"/>
      <c r="R306" s="24"/>
      <c r="S306" s="24" t="s">
        <v>668</v>
      </c>
      <c r="T306" s="28">
        <f t="shared" ca="1" si="13"/>
        <v>46059</v>
      </c>
      <c r="U306" s="24"/>
    </row>
    <row r="307" spans="1:21" s="35" customFormat="1" ht="90" x14ac:dyDescent="0.25">
      <c r="A307" s="24" t="s">
        <v>498</v>
      </c>
      <c r="B307" s="24" t="s">
        <v>485</v>
      </c>
      <c r="C307" s="24" t="s">
        <v>165</v>
      </c>
      <c r="D307" s="24" t="str">
        <f>IF($C307="","",INDEX([2]PLAN_DESARROLLO!$B:$B,MATCH($C307,[2]PLAN_DESARROLLO!$A:$A,0)))</f>
        <v>2024257770013</v>
      </c>
      <c r="E307" s="24" t="str">
        <f>IF($C307="","",INDEX([2]PLAN_DESARROLLO!$C:$C,MATCH($C307,[2]PLAN_DESARROLLO!$A:$A,0)))</f>
        <v>POR EL SUPATÁ SOÑADO AVANZAMOS JUNTOS EN LA LÍNEA ESTRATÉGICA SOCIAL</v>
      </c>
      <c r="F307" s="24" t="str">
        <f>IF($C307="","",INDEX([2]PLAN_DESARROLLO!$D:$D,MATCH($C307,[2]PLAN_DESARROLLO!$A:$A,0)))</f>
        <v>POBLACIÓN VULNERABLE- CAPITULO MUJER Y GENERO</v>
      </c>
      <c r="G307" s="24" t="str">
        <f>IF($C307="","",INDEX([2]PLAN_DESARROLLO!$E:$E,MATCH($C307,[2]PLAN_DESARROLLO!$A:$A,0)))</f>
        <v>Realizar anualmente mecanismos para la articulacion, actualización, reactivación y seguimiento de las actividades del Consejo Consultivo de Mujeres, como instancia de representación de sus necesidades e interés</v>
      </c>
      <c r="H307" s="25">
        <v>4</v>
      </c>
      <c r="I307" s="25">
        <v>1</v>
      </c>
      <c r="J307" s="26">
        <f t="shared" si="14"/>
        <v>0.25</v>
      </c>
      <c r="K307" s="27">
        <v>7500000</v>
      </c>
      <c r="L307" s="27">
        <v>0</v>
      </c>
      <c r="M307" s="26">
        <f t="shared" si="15"/>
        <v>0</v>
      </c>
      <c r="N307" s="24" t="s">
        <v>667</v>
      </c>
      <c r="O307" s="24"/>
      <c r="P307" s="24"/>
      <c r="Q307" s="24"/>
      <c r="R307" s="24"/>
      <c r="S307" s="24" t="s">
        <v>668</v>
      </c>
      <c r="T307" s="28">
        <f t="shared" ca="1" si="13"/>
        <v>46059</v>
      </c>
      <c r="U307" s="24"/>
    </row>
    <row r="308" spans="1:21" s="35" customFormat="1" ht="60" x14ac:dyDescent="0.25">
      <c r="A308" s="24" t="s">
        <v>494</v>
      </c>
      <c r="B308" s="24" t="s">
        <v>485</v>
      </c>
      <c r="C308" s="24" t="s">
        <v>167</v>
      </c>
      <c r="D308" s="24" t="str">
        <f>IF($C308="","",INDEX([2]PLAN_DESARROLLO!$B:$B,MATCH($C308,[2]PLAN_DESARROLLO!$A:$A,0)))</f>
        <v>2024257770014</v>
      </c>
      <c r="E308" s="24" t="str">
        <f>IF($C308="","",INDEX([2]PLAN_DESARROLLO!$C:$C,MATCH($C308,[2]PLAN_DESARROLLO!$A:$A,0)))</f>
        <v>POR EL SUPATÁ SOÑADO AVANZAMOS JUNTOS EN LA LÍNEA ESTRATÉGICA SOCIAL</v>
      </c>
      <c r="F308" s="24" t="str">
        <f>IF($C308="","",INDEX([2]PLAN_DESARROLLO!$D:$D,MATCH($C308,[2]PLAN_DESARROLLO!$A:$A,0)))</f>
        <v>POBLACIÓN VULNERABLE - CAPITULO ADULTO MAYOR</v>
      </c>
      <c r="G308" s="24" t="str">
        <f>IF($C308="","",INDEX([2]PLAN_DESARROLLO!$E:$E,MATCH($C308,[2]PLAN_DESARROLLO!$A:$A,0)))</f>
        <v>Mentener el Programa Centro Día Urbano y rural para el beneficio</v>
      </c>
      <c r="H308" s="25">
        <v>4</v>
      </c>
      <c r="I308" s="25">
        <v>1</v>
      </c>
      <c r="J308" s="26">
        <f t="shared" si="14"/>
        <v>0.25</v>
      </c>
      <c r="K308" s="27">
        <v>70207200</v>
      </c>
      <c r="L308" s="27">
        <v>70207200</v>
      </c>
      <c r="M308" s="26">
        <f t="shared" si="15"/>
        <v>1</v>
      </c>
      <c r="N308" s="24" t="s">
        <v>669</v>
      </c>
      <c r="O308" s="24"/>
      <c r="P308" s="24" t="s">
        <v>502</v>
      </c>
      <c r="Q308" s="24" t="s">
        <v>497</v>
      </c>
      <c r="R308" s="24"/>
      <c r="S308" s="24"/>
      <c r="T308" s="28">
        <f t="shared" ca="1" si="13"/>
        <v>46059</v>
      </c>
      <c r="U308" s="24"/>
    </row>
    <row r="309" spans="1:21" s="35" customFormat="1" ht="75" x14ac:dyDescent="0.25">
      <c r="A309" s="24" t="s">
        <v>498</v>
      </c>
      <c r="B309" s="24" t="s">
        <v>485</v>
      </c>
      <c r="C309" s="24" t="s">
        <v>167</v>
      </c>
      <c r="D309" s="24" t="str">
        <f>IF($C309="","",INDEX([2]PLAN_DESARROLLO!$B:$B,MATCH($C309,[2]PLAN_DESARROLLO!$A:$A,0)))</f>
        <v>2024257770014</v>
      </c>
      <c r="E309" s="24" t="str">
        <f>IF($C309="","",INDEX([2]PLAN_DESARROLLO!$C:$C,MATCH($C309,[2]PLAN_DESARROLLO!$A:$A,0)))</f>
        <v>POR EL SUPATÁ SOÑADO AVANZAMOS JUNTOS EN LA LÍNEA ESTRATÉGICA SOCIAL</v>
      </c>
      <c r="F309" s="24" t="str">
        <f>IF($C309="","",INDEX([2]PLAN_DESARROLLO!$D:$D,MATCH($C309,[2]PLAN_DESARROLLO!$A:$A,0)))</f>
        <v>POBLACIÓN VULNERABLE - CAPITULO ADULTO MAYOR</v>
      </c>
      <c r="G309" s="24" t="str">
        <f>IF($C309="","",INDEX([2]PLAN_DESARROLLO!$E:$E,MATCH($C309,[2]PLAN_DESARROLLO!$A:$A,0)))</f>
        <v>Mentener el Programa Centro Día Urbano y rural para el beneficio</v>
      </c>
      <c r="H309" s="25">
        <v>4</v>
      </c>
      <c r="I309" s="25">
        <v>1</v>
      </c>
      <c r="J309" s="26">
        <f t="shared" si="14"/>
        <v>0.25</v>
      </c>
      <c r="K309" s="27">
        <v>172717000</v>
      </c>
      <c r="L309" s="27">
        <v>172717000</v>
      </c>
      <c r="M309" s="26">
        <f t="shared" si="15"/>
        <v>1</v>
      </c>
      <c r="N309" s="24" t="s">
        <v>670</v>
      </c>
      <c r="O309" s="24"/>
      <c r="P309" s="24" t="s">
        <v>502</v>
      </c>
      <c r="Q309" s="24" t="s">
        <v>497</v>
      </c>
      <c r="R309" s="24"/>
      <c r="S309" s="24"/>
      <c r="T309" s="28">
        <f t="shared" ca="1" si="13"/>
        <v>46059</v>
      </c>
      <c r="U309" s="24"/>
    </row>
    <row r="310" spans="1:21" s="35" customFormat="1" ht="45" x14ac:dyDescent="0.25">
      <c r="A310" s="24" t="s">
        <v>494</v>
      </c>
      <c r="B310" s="24" t="s">
        <v>485</v>
      </c>
      <c r="C310" s="24" t="s">
        <v>171</v>
      </c>
      <c r="D310" s="24" t="str">
        <f>IF($C310="","",INDEX([2]PLAN_DESARROLLO!$B:$B,MATCH($C310,[2]PLAN_DESARROLLO!$A:$A,0)))</f>
        <v>2024257770014</v>
      </c>
      <c r="E310" s="24" t="str">
        <f>IF($C310="","",INDEX([2]PLAN_DESARROLLO!$C:$C,MATCH($C310,[2]PLAN_DESARROLLO!$A:$A,0)))</f>
        <v>POR EL SUPATÁ SOÑADO AVANZAMOS JUNTOS EN LA LÍNEA ESTRATÉGICA SOCIAL</v>
      </c>
      <c r="F310" s="24" t="str">
        <f>IF($C310="","",INDEX([2]PLAN_DESARROLLO!$D:$D,MATCH($C310,[2]PLAN_DESARROLLO!$A:$A,0)))</f>
        <v>POBLACIÓN VULNERABLE - CAPITULO ADULTO MAYOR</v>
      </c>
      <c r="G310" s="24" t="str">
        <f>IF($C310="","",INDEX([2]PLAN_DESARROLLO!$E:$E,MATCH($C310,[2]PLAN_DESARROLLO!$A:$A,0)))</f>
        <v>Garantizar la atención integral e institucional de adultos mayores con vulnerabilidad social en el centro de bienestar del adulto mayor "Maria Auxiliadora".</v>
      </c>
      <c r="H310" s="25">
        <v>4</v>
      </c>
      <c r="I310" s="25">
        <v>1</v>
      </c>
      <c r="J310" s="26">
        <f t="shared" si="14"/>
        <v>0.25</v>
      </c>
      <c r="K310" s="27">
        <v>184510000</v>
      </c>
      <c r="L310" s="27">
        <v>184510000</v>
      </c>
      <c r="M310" s="26">
        <f t="shared" si="15"/>
        <v>1</v>
      </c>
      <c r="N310" s="24" t="s">
        <v>671</v>
      </c>
      <c r="O310" s="24"/>
      <c r="P310" s="24" t="s">
        <v>502</v>
      </c>
      <c r="Q310" s="24" t="s">
        <v>497</v>
      </c>
      <c r="R310" s="24"/>
      <c r="S310" s="24"/>
      <c r="T310" s="28">
        <f t="shared" ca="1" si="13"/>
        <v>46059</v>
      </c>
      <c r="U310" s="24"/>
    </row>
    <row r="311" spans="1:21" s="35" customFormat="1" ht="45" x14ac:dyDescent="0.25">
      <c r="A311" s="24" t="s">
        <v>498</v>
      </c>
      <c r="B311" s="24" t="s">
        <v>485</v>
      </c>
      <c r="C311" s="24" t="s">
        <v>171</v>
      </c>
      <c r="D311" s="24" t="str">
        <f>IF($C311="","",INDEX([2]PLAN_DESARROLLO!$B:$B,MATCH($C311,[2]PLAN_DESARROLLO!$A:$A,0)))</f>
        <v>2024257770014</v>
      </c>
      <c r="E311" s="24" t="str">
        <f>IF($C311="","",INDEX([2]PLAN_DESARROLLO!$C:$C,MATCH($C311,[2]PLAN_DESARROLLO!$A:$A,0)))</f>
        <v>POR EL SUPATÁ SOÑADO AVANZAMOS JUNTOS EN LA LÍNEA ESTRATÉGICA SOCIAL</v>
      </c>
      <c r="F311" s="24" t="str">
        <f>IF($C311="","",INDEX([2]PLAN_DESARROLLO!$D:$D,MATCH($C311,[2]PLAN_DESARROLLO!$A:$A,0)))</f>
        <v>POBLACIÓN VULNERABLE - CAPITULO ADULTO MAYOR</v>
      </c>
      <c r="G311" s="24" t="str">
        <f>IF($C311="","",INDEX([2]PLAN_DESARROLLO!$E:$E,MATCH($C311,[2]PLAN_DESARROLLO!$A:$A,0)))</f>
        <v>Garantizar la atención integral e institucional de adultos mayores con vulnerabilidad social en el centro de bienestar del adulto mayor "Maria Auxiliadora".</v>
      </c>
      <c r="H311" s="25">
        <v>4</v>
      </c>
      <c r="I311" s="25">
        <v>1</v>
      </c>
      <c r="J311" s="26">
        <f t="shared" si="14"/>
        <v>0.25</v>
      </c>
      <c r="K311" s="27">
        <v>171723000</v>
      </c>
      <c r="L311" s="27">
        <v>171723000</v>
      </c>
      <c r="M311" s="26">
        <f t="shared" si="15"/>
        <v>1</v>
      </c>
      <c r="N311" s="24" t="s">
        <v>671</v>
      </c>
      <c r="O311" s="24"/>
      <c r="P311" s="24" t="s">
        <v>502</v>
      </c>
      <c r="Q311" s="24" t="s">
        <v>497</v>
      </c>
      <c r="R311" s="24"/>
      <c r="S311" s="24"/>
      <c r="T311" s="28">
        <f t="shared" ca="1" si="13"/>
        <v>46059</v>
      </c>
      <c r="U311" s="24"/>
    </row>
    <row r="312" spans="1:21" s="35" customFormat="1" ht="120" x14ac:dyDescent="0.25">
      <c r="A312" s="24" t="s">
        <v>494</v>
      </c>
      <c r="B312" s="24" t="s">
        <v>485</v>
      </c>
      <c r="C312" s="24" t="s">
        <v>173</v>
      </c>
      <c r="D312" s="24" t="str">
        <f>IF($C312="","",INDEX([2]PLAN_DESARROLLO!$B:$B,MATCH($C312,[2]PLAN_DESARROLLO!$A:$A,0)))</f>
        <v>2024257770014</v>
      </c>
      <c r="E312" s="24" t="str">
        <f>IF($C312="","",INDEX([2]PLAN_DESARROLLO!$C:$C,MATCH($C312,[2]PLAN_DESARROLLO!$A:$A,0)))</f>
        <v>POR EL SUPATÁ SOÑADO AVANZAMOS JUNTOS EN LA LÍNEA ESTRATÉGICA SOCIAL</v>
      </c>
      <c r="F312" s="24" t="str">
        <f>IF($C312="","",INDEX([2]PLAN_DESARROLLO!$D:$D,MATCH($C312,[2]PLAN_DESARROLLO!$A:$A,0)))</f>
        <v>POBLACIÓN VULNERABLE - CAPITULO ADULTO MAYOR</v>
      </c>
      <c r="G312" s="24" t="str">
        <f>IF($C312="","",INDEX([2]PLAN_DESARROLLO!$E:$E,MATCH($C312,[2]PLAN_DESARROLLO!$A:$A,0)))</f>
        <v>Implementar anualmente la estrategia Rehabilitacion basada en comunidad RBC con la población Adulto Mayor</v>
      </c>
      <c r="H312" s="25">
        <v>4</v>
      </c>
      <c r="I312" s="25">
        <v>1</v>
      </c>
      <c r="J312" s="26">
        <f t="shared" si="14"/>
        <v>0.25</v>
      </c>
      <c r="K312" s="27">
        <v>0</v>
      </c>
      <c r="L312" s="27">
        <v>0</v>
      </c>
      <c r="M312" s="26">
        <f t="shared" si="15"/>
        <v>0</v>
      </c>
      <c r="N312" s="24" t="s">
        <v>672</v>
      </c>
      <c r="O312" s="24"/>
      <c r="P312" s="24" t="s">
        <v>502</v>
      </c>
      <c r="Q312" s="24" t="s">
        <v>506</v>
      </c>
      <c r="R312" s="24"/>
      <c r="S312" s="24" t="s">
        <v>673</v>
      </c>
      <c r="T312" s="28">
        <f t="shared" ca="1" si="13"/>
        <v>46059</v>
      </c>
      <c r="U312" s="24"/>
    </row>
    <row r="313" spans="1:21" s="35" customFormat="1" ht="120" x14ac:dyDescent="0.25">
      <c r="A313" s="24" t="s">
        <v>498</v>
      </c>
      <c r="B313" s="24" t="s">
        <v>485</v>
      </c>
      <c r="C313" s="24" t="s">
        <v>173</v>
      </c>
      <c r="D313" s="24" t="str">
        <f>IF($C313="","",INDEX([2]PLAN_DESARROLLO!$B:$B,MATCH($C313,[2]PLAN_DESARROLLO!$A:$A,0)))</f>
        <v>2024257770014</v>
      </c>
      <c r="E313" s="24" t="str">
        <f>IF($C313="","",INDEX([2]PLAN_DESARROLLO!$C:$C,MATCH($C313,[2]PLAN_DESARROLLO!$A:$A,0)))</f>
        <v>POR EL SUPATÁ SOÑADO AVANZAMOS JUNTOS EN LA LÍNEA ESTRATÉGICA SOCIAL</v>
      </c>
      <c r="F313" s="24" t="str">
        <f>IF($C313="","",INDEX([2]PLAN_DESARROLLO!$D:$D,MATCH($C313,[2]PLAN_DESARROLLO!$A:$A,0)))</f>
        <v>POBLACIÓN VULNERABLE - CAPITULO ADULTO MAYOR</v>
      </c>
      <c r="G313" s="24" t="str">
        <f>IF($C313="","",INDEX([2]PLAN_DESARROLLO!$E:$E,MATCH($C313,[2]PLAN_DESARROLLO!$A:$A,0)))</f>
        <v>Implementar anualmente la estrategia Rehabilitacion basada en comunidad RBC con la población Adulto Mayor</v>
      </c>
      <c r="H313" s="25">
        <v>4</v>
      </c>
      <c r="I313" s="25">
        <v>1</v>
      </c>
      <c r="J313" s="26">
        <f t="shared" si="14"/>
        <v>0.25</v>
      </c>
      <c r="K313" s="27">
        <v>0</v>
      </c>
      <c r="L313" s="27">
        <v>0</v>
      </c>
      <c r="M313" s="26">
        <v>0</v>
      </c>
      <c r="N313" s="24" t="s">
        <v>672</v>
      </c>
      <c r="O313" s="24"/>
      <c r="P313" s="24" t="s">
        <v>502</v>
      </c>
      <c r="Q313" s="24" t="s">
        <v>506</v>
      </c>
      <c r="R313" s="24"/>
      <c r="S313" s="24" t="s">
        <v>673</v>
      </c>
      <c r="T313" s="28">
        <f t="shared" ca="1" si="13"/>
        <v>46059</v>
      </c>
      <c r="U313" s="24"/>
    </row>
    <row r="314" spans="1:21" s="35" customFormat="1" ht="30" x14ac:dyDescent="0.25">
      <c r="A314" s="24" t="s">
        <v>494</v>
      </c>
      <c r="B314" s="24" t="s">
        <v>485</v>
      </c>
      <c r="C314" s="24" t="s">
        <v>175</v>
      </c>
      <c r="D314" s="24" t="str">
        <f>IF($C314="","",INDEX([2]PLAN_DESARROLLO!$B:$B,MATCH($C314,[2]PLAN_DESARROLLO!$A:$A,0)))</f>
        <v>2024257770014</v>
      </c>
      <c r="E314" s="24" t="str">
        <f>IF($C314="","",INDEX([2]PLAN_DESARROLLO!$C:$C,MATCH($C314,[2]PLAN_DESARROLLO!$A:$A,0)))</f>
        <v>POR EL SUPATÁ SOÑADO AVANZAMOS JUNTOS EN LA LÍNEA ESTRATÉGICA SOCIAL</v>
      </c>
      <c r="F314" s="24" t="str">
        <f>IF($C314="","",INDEX([2]PLAN_DESARROLLO!$D:$D,MATCH($C314,[2]PLAN_DESARROLLO!$A:$A,0)))</f>
        <v>POBLACIÓN VULNERABLE - CAPITULO ADULTO MAYOR</v>
      </c>
      <c r="G314" s="24" t="str">
        <f>IF($C314="","",INDEX([2]PLAN_DESARROLLO!$E:$E,MATCH($C314,[2]PLAN_DESARROLLO!$A:$A,0)))</f>
        <v>Realizar 1 Dotación Centro día.</v>
      </c>
      <c r="H314" s="25">
        <v>2</v>
      </c>
      <c r="I314" s="25">
        <v>1</v>
      </c>
      <c r="J314" s="26">
        <f t="shared" si="14"/>
        <v>0.5</v>
      </c>
      <c r="K314" s="27">
        <v>60143295</v>
      </c>
      <c r="L314" s="27">
        <v>60143295</v>
      </c>
      <c r="M314" s="26">
        <f t="shared" si="15"/>
        <v>1</v>
      </c>
      <c r="N314" s="24" t="s">
        <v>674</v>
      </c>
      <c r="O314" s="24"/>
      <c r="P314" s="24" t="s">
        <v>502</v>
      </c>
      <c r="Q314" s="24" t="s">
        <v>497</v>
      </c>
      <c r="R314" s="24"/>
      <c r="S314" s="24"/>
      <c r="T314" s="28">
        <f t="shared" ca="1" si="13"/>
        <v>46059</v>
      </c>
      <c r="U314" s="24"/>
    </row>
    <row r="315" spans="1:21" s="35" customFormat="1" ht="30" x14ac:dyDescent="0.25">
      <c r="A315" s="24" t="s">
        <v>498</v>
      </c>
      <c r="B315" s="24" t="s">
        <v>485</v>
      </c>
      <c r="C315" s="24" t="s">
        <v>175</v>
      </c>
      <c r="D315" s="24" t="str">
        <f>IF($C315="","",INDEX([2]PLAN_DESARROLLO!$B:$B,MATCH($C315,[2]PLAN_DESARROLLO!$A:$A,0)))</f>
        <v>2024257770014</v>
      </c>
      <c r="E315" s="24" t="str">
        <f>IF($C315="","",INDEX([2]PLAN_DESARROLLO!$C:$C,MATCH($C315,[2]PLAN_DESARROLLO!$A:$A,0)))</f>
        <v>POR EL SUPATÁ SOÑADO AVANZAMOS JUNTOS EN LA LÍNEA ESTRATÉGICA SOCIAL</v>
      </c>
      <c r="F315" s="24" t="str">
        <f>IF($C315="","",INDEX([2]PLAN_DESARROLLO!$D:$D,MATCH($C315,[2]PLAN_DESARROLLO!$A:$A,0)))</f>
        <v>POBLACIÓN VULNERABLE - CAPITULO ADULTO MAYOR</v>
      </c>
      <c r="G315" s="24" t="str">
        <f>IF($C315="","",INDEX([2]PLAN_DESARROLLO!$E:$E,MATCH($C315,[2]PLAN_DESARROLLO!$A:$A,0)))</f>
        <v>Realizar 1 Dotación Centro día.</v>
      </c>
      <c r="H315" s="25">
        <v>2</v>
      </c>
      <c r="I315" s="25">
        <v>1</v>
      </c>
      <c r="J315" s="26">
        <f t="shared" si="14"/>
        <v>0.5</v>
      </c>
      <c r="K315" s="27">
        <v>75600000</v>
      </c>
      <c r="L315" s="27">
        <v>75600000</v>
      </c>
      <c r="M315" s="26">
        <f t="shared" si="15"/>
        <v>1</v>
      </c>
      <c r="N315" s="24" t="s">
        <v>674</v>
      </c>
      <c r="O315" s="24"/>
      <c r="P315" s="24" t="s">
        <v>502</v>
      </c>
      <c r="Q315" s="24" t="s">
        <v>497</v>
      </c>
      <c r="R315" s="24"/>
      <c r="S315" s="24"/>
      <c r="T315" s="28">
        <f t="shared" ca="1" si="13"/>
        <v>46059</v>
      </c>
      <c r="U315" s="24"/>
    </row>
    <row r="316" spans="1:21" s="35" customFormat="1" ht="30" x14ac:dyDescent="0.25">
      <c r="A316" s="24" t="s">
        <v>494</v>
      </c>
      <c r="B316" s="24" t="s">
        <v>485</v>
      </c>
      <c r="C316" s="24" t="s">
        <v>177</v>
      </c>
      <c r="D316" s="24" t="str">
        <f>IF($C316="","",INDEX([2]PLAN_DESARROLLO!$B:$B,MATCH($C316,[2]PLAN_DESARROLLO!$A:$A,0)))</f>
        <v>2024257770014</v>
      </c>
      <c r="E316" s="24" t="str">
        <f>IF($C316="","",INDEX([2]PLAN_DESARROLLO!$C:$C,MATCH($C316,[2]PLAN_DESARROLLO!$A:$A,0)))</f>
        <v>POR EL SUPATÁ SOÑADO AVANZAMOS JUNTOS EN LA LÍNEA ESTRATÉGICA SOCIAL</v>
      </c>
      <c r="F316" s="24" t="str">
        <f>IF($C316="","",INDEX([2]PLAN_DESARROLLO!$D:$D,MATCH($C316,[2]PLAN_DESARROLLO!$A:$A,0)))</f>
        <v>POBLACIÓN VULNERABLE - CAPITULO ADULTO MAYOR</v>
      </c>
      <c r="G316" s="24" t="str">
        <f>IF($C316="","",INDEX([2]PLAN_DESARROLLO!$E:$E,MATCH($C316,[2]PLAN_DESARROLLO!$A:$A,0)))</f>
        <v>Realizar 4 jornadas de certificación para acceso a subsidios de discapacidad.</v>
      </c>
      <c r="H316" s="25">
        <v>4</v>
      </c>
      <c r="I316" s="25">
        <v>1</v>
      </c>
      <c r="J316" s="26">
        <f t="shared" si="14"/>
        <v>0.25</v>
      </c>
      <c r="K316" s="27">
        <v>0</v>
      </c>
      <c r="L316" s="27">
        <v>0</v>
      </c>
      <c r="M316" s="26">
        <f t="shared" si="15"/>
        <v>0</v>
      </c>
      <c r="N316" s="24" t="s">
        <v>675</v>
      </c>
      <c r="O316" s="24"/>
      <c r="P316" s="24" t="s">
        <v>502</v>
      </c>
      <c r="Q316" s="24" t="s">
        <v>506</v>
      </c>
      <c r="R316" s="24"/>
      <c r="S316" s="24" t="s">
        <v>676</v>
      </c>
      <c r="T316" s="28">
        <f t="shared" ca="1" si="13"/>
        <v>46059</v>
      </c>
      <c r="U316" s="24"/>
    </row>
    <row r="317" spans="1:21" s="35" customFormat="1" ht="30" x14ac:dyDescent="0.25">
      <c r="A317" s="24" t="s">
        <v>498</v>
      </c>
      <c r="B317" s="24" t="s">
        <v>485</v>
      </c>
      <c r="C317" s="24" t="s">
        <v>177</v>
      </c>
      <c r="D317" s="24" t="str">
        <f>IF($C317="","",INDEX([2]PLAN_DESARROLLO!$B:$B,MATCH($C317,[2]PLAN_DESARROLLO!$A:$A,0)))</f>
        <v>2024257770014</v>
      </c>
      <c r="E317" s="24" t="str">
        <f>IF($C317="","",INDEX([2]PLAN_DESARROLLO!$C:$C,MATCH($C317,[2]PLAN_DESARROLLO!$A:$A,0)))</f>
        <v>POR EL SUPATÁ SOÑADO AVANZAMOS JUNTOS EN LA LÍNEA ESTRATÉGICA SOCIAL</v>
      </c>
      <c r="F317" s="24" t="str">
        <f>IF($C317="","",INDEX([2]PLAN_DESARROLLO!$D:$D,MATCH($C317,[2]PLAN_DESARROLLO!$A:$A,0)))</f>
        <v>POBLACIÓN VULNERABLE - CAPITULO ADULTO MAYOR</v>
      </c>
      <c r="G317" s="24" t="str">
        <f>IF($C317="","",INDEX([2]PLAN_DESARROLLO!$E:$E,MATCH($C317,[2]PLAN_DESARROLLO!$A:$A,0)))</f>
        <v>Realizar 4 jornadas de certificación para acceso a subsidios de discapacidad.</v>
      </c>
      <c r="H317" s="25">
        <v>4</v>
      </c>
      <c r="I317" s="25">
        <v>1</v>
      </c>
      <c r="J317" s="26">
        <f t="shared" si="14"/>
        <v>0.25</v>
      </c>
      <c r="K317" s="27">
        <v>5000000</v>
      </c>
      <c r="L317" s="27">
        <v>0</v>
      </c>
      <c r="M317" s="26">
        <f t="shared" si="15"/>
        <v>0</v>
      </c>
      <c r="N317" s="24" t="s">
        <v>675</v>
      </c>
      <c r="O317" s="24"/>
      <c r="P317" s="24" t="s">
        <v>502</v>
      </c>
      <c r="Q317" s="24" t="s">
        <v>506</v>
      </c>
      <c r="R317" s="24"/>
      <c r="S317" s="24" t="s">
        <v>676</v>
      </c>
      <c r="T317" s="28">
        <f t="shared" ca="1" si="13"/>
        <v>46059</v>
      </c>
      <c r="U317" s="24"/>
    </row>
    <row r="318" spans="1:21" s="35" customFormat="1" ht="30" x14ac:dyDescent="0.25">
      <c r="A318" s="24" t="s">
        <v>494</v>
      </c>
      <c r="B318" s="24" t="s">
        <v>485</v>
      </c>
      <c r="C318" s="24" t="s">
        <v>179</v>
      </c>
      <c r="D318" s="24" t="str">
        <f>IF($C318="","",INDEX([2]PLAN_DESARROLLO!$B:$B,MATCH($C318,[2]PLAN_DESARROLLO!$A:$A,0)))</f>
        <v>2024257770014</v>
      </c>
      <c r="E318" s="24" t="str">
        <f>IF($C318="","",INDEX([2]PLAN_DESARROLLO!$C:$C,MATCH($C318,[2]PLAN_DESARROLLO!$A:$A,0)))</f>
        <v>POR EL SUPATÁ SOÑADO AVANZAMOS JUNTOS EN LA LÍNEA ESTRATÉGICA SOCIAL</v>
      </c>
      <c r="F318" s="24" t="str">
        <f>IF($C318="","",INDEX([2]PLAN_DESARROLLO!$D:$D,MATCH($C318,[2]PLAN_DESARROLLO!$A:$A,0)))</f>
        <v>POBLACIÓN VULNERABLE - CAPITULO ADULTO MAYOR</v>
      </c>
      <c r="G318" s="24" t="str">
        <f>IF($C318="","",INDEX([2]PLAN_DESARROLLO!$E:$E,MATCH($C318,[2]PLAN_DESARROLLO!$A:$A,0)))</f>
        <v xml:space="preserve">Mantener anualmente  atencion en el Centro de Vida Sensorial </v>
      </c>
      <c r="H318" s="25">
        <v>1</v>
      </c>
      <c r="I318" s="25">
        <v>1</v>
      </c>
      <c r="J318" s="26">
        <f t="shared" si="14"/>
        <v>1</v>
      </c>
      <c r="K318" s="27">
        <v>12000000</v>
      </c>
      <c r="L318" s="27">
        <v>12000000</v>
      </c>
      <c r="M318" s="26">
        <f t="shared" si="15"/>
        <v>1</v>
      </c>
      <c r="N318" s="24" t="s">
        <v>677</v>
      </c>
      <c r="O318" s="24"/>
      <c r="P318" s="24" t="s">
        <v>502</v>
      </c>
      <c r="Q318" s="24" t="s">
        <v>497</v>
      </c>
      <c r="R318" s="24"/>
      <c r="S318" s="24"/>
      <c r="T318" s="28">
        <f t="shared" ca="1" si="13"/>
        <v>46059</v>
      </c>
      <c r="U318" s="24"/>
    </row>
    <row r="319" spans="1:21" s="35" customFormat="1" ht="30" x14ac:dyDescent="0.25">
      <c r="A319" s="24" t="s">
        <v>498</v>
      </c>
      <c r="B319" s="24" t="s">
        <v>485</v>
      </c>
      <c r="C319" s="24" t="s">
        <v>179</v>
      </c>
      <c r="D319" s="24" t="str">
        <f>IF($C319="","",INDEX([2]PLAN_DESARROLLO!$B:$B,MATCH($C319,[2]PLAN_DESARROLLO!$A:$A,0)))</f>
        <v>2024257770014</v>
      </c>
      <c r="E319" s="24" t="str">
        <f>IF($C319="","",INDEX([2]PLAN_DESARROLLO!$C:$C,MATCH($C319,[2]PLAN_DESARROLLO!$A:$A,0)))</f>
        <v>POR EL SUPATÁ SOÑADO AVANZAMOS JUNTOS EN LA LÍNEA ESTRATÉGICA SOCIAL</v>
      </c>
      <c r="F319" s="24" t="str">
        <f>IF($C319="","",INDEX([2]PLAN_DESARROLLO!$D:$D,MATCH($C319,[2]PLAN_DESARROLLO!$A:$A,0)))</f>
        <v>POBLACIÓN VULNERABLE - CAPITULO ADULTO MAYOR</v>
      </c>
      <c r="G319" s="24" t="str">
        <f>IF($C319="","",INDEX([2]PLAN_DESARROLLO!$E:$E,MATCH($C319,[2]PLAN_DESARROLLO!$A:$A,0)))</f>
        <v xml:space="preserve">Mantener anualmente  atencion en el Centro de Vida Sensorial </v>
      </c>
      <c r="H319" s="25">
        <v>1</v>
      </c>
      <c r="I319" s="25">
        <v>1</v>
      </c>
      <c r="J319" s="26">
        <f t="shared" si="14"/>
        <v>1</v>
      </c>
      <c r="K319" s="27">
        <v>18452000</v>
      </c>
      <c r="L319" s="27">
        <v>18452000</v>
      </c>
      <c r="M319" s="26">
        <f t="shared" si="15"/>
        <v>1</v>
      </c>
      <c r="N319" s="24" t="s">
        <v>677</v>
      </c>
      <c r="O319" s="24"/>
      <c r="P319" s="24" t="s">
        <v>502</v>
      </c>
      <c r="Q319" s="24" t="s">
        <v>497</v>
      </c>
      <c r="R319" s="24"/>
      <c r="S319" s="24"/>
      <c r="T319" s="28">
        <f t="shared" ca="1" si="13"/>
        <v>46059</v>
      </c>
      <c r="U319" s="24"/>
    </row>
    <row r="320" spans="1:21" s="35" customFormat="1" ht="30" x14ac:dyDescent="0.25">
      <c r="A320" s="24" t="s">
        <v>494</v>
      </c>
      <c r="B320" s="24" t="s">
        <v>485</v>
      </c>
      <c r="C320" s="24" t="s">
        <v>181</v>
      </c>
      <c r="D320" s="24" t="str">
        <f>IF($C320="","",INDEX([2]PLAN_DESARROLLO!$B:$B,MATCH($C320,[2]PLAN_DESARROLLO!$A:$A,0)))</f>
        <v>2024257770014</v>
      </c>
      <c r="E320" s="24" t="str">
        <f>IF($C320="","",INDEX([2]PLAN_DESARROLLO!$C:$C,MATCH($C320,[2]PLAN_DESARROLLO!$A:$A,0)))</f>
        <v>POR EL SUPATÁ SOÑADO AVANZAMOS JUNTOS EN LA LÍNEA ESTRATÉGICA SOCIAL</v>
      </c>
      <c r="F320" s="24" t="str">
        <f>IF($C320="","",INDEX([2]PLAN_DESARROLLO!$D:$D,MATCH($C320,[2]PLAN_DESARROLLO!$A:$A,0)))</f>
        <v>POBLACIÓN VULNERABLE - CAPITULO ADULTO MAYOR</v>
      </c>
      <c r="G320" s="24" t="str">
        <f>IF($C320="","",INDEX([2]PLAN_DESARROLLO!$E:$E,MATCH($C320,[2]PLAN_DESARROLLO!$A:$A,0)))</f>
        <v>Celebrar anualmente el día Blanco</v>
      </c>
      <c r="H320" s="25">
        <v>4</v>
      </c>
      <c r="I320" s="25">
        <v>1</v>
      </c>
      <c r="J320" s="26">
        <f t="shared" si="14"/>
        <v>0.25</v>
      </c>
      <c r="K320" s="27">
        <v>5992000</v>
      </c>
      <c r="L320" s="27">
        <v>5992000</v>
      </c>
      <c r="M320" s="26">
        <f t="shared" si="15"/>
        <v>1</v>
      </c>
      <c r="N320" s="24" t="s">
        <v>678</v>
      </c>
      <c r="O320" s="24"/>
      <c r="P320" s="24" t="s">
        <v>502</v>
      </c>
      <c r="Q320" s="24" t="s">
        <v>497</v>
      </c>
      <c r="R320" s="24"/>
      <c r="S320" s="24"/>
      <c r="T320" s="28">
        <f t="shared" ref="T320:T325" ca="1" si="16">IF($A320="","",TODAY())</f>
        <v>46059</v>
      </c>
      <c r="U320" s="24"/>
    </row>
    <row r="321" spans="1:21" s="35" customFormat="1" ht="30" x14ac:dyDescent="0.25">
      <c r="A321" s="24" t="s">
        <v>498</v>
      </c>
      <c r="B321" s="24" t="s">
        <v>485</v>
      </c>
      <c r="C321" s="24" t="s">
        <v>181</v>
      </c>
      <c r="D321" s="24" t="str">
        <f>IF($C321="","",INDEX([2]PLAN_DESARROLLO!$B:$B,MATCH($C321,[2]PLAN_DESARROLLO!$A:$A,0)))</f>
        <v>2024257770014</v>
      </c>
      <c r="E321" s="24" t="str">
        <f>IF($C321="","",INDEX([2]PLAN_DESARROLLO!$C:$C,MATCH($C321,[2]PLAN_DESARROLLO!$A:$A,0)))</f>
        <v>POR EL SUPATÁ SOÑADO AVANZAMOS JUNTOS EN LA LÍNEA ESTRATÉGICA SOCIAL</v>
      </c>
      <c r="F321" s="24" t="str">
        <f>IF($C321="","",INDEX([2]PLAN_DESARROLLO!$D:$D,MATCH($C321,[2]PLAN_DESARROLLO!$A:$A,0)))</f>
        <v>POBLACIÓN VULNERABLE - CAPITULO ADULTO MAYOR</v>
      </c>
      <c r="G321" s="24" t="str">
        <f>IF($C321="","",INDEX([2]PLAN_DESARROLLO!$E:$E,MATCH($C321,[2]PLAN_DESARROLLO!$A:$A,0)))</f>
        <v>Celebrar anualmente el día Blanco</v>
      </c>
      <c r="H321" s="25">
        <v>4</v>
      </c>
      <c r="I321" s="25">
        <v>1</v>
      </c>
      <c r="J321" s="26">
        <f t="shared" si="14"/>
        <v>0.25</v>
      </c>
      <c r="K321" s="27">
        <v>13550000</v>
      </c>
      <c r="L321" s="27">
        <v>13550000</v>
      </c>
      <c r="M321" s="26">
        <f t="shared" si="15"/>
        <v>1</v>
      </c>
      <c r="N321" s="24"/>
      <c r="O321" s="24"/>
      <c r="P321" s="24"/>
      <c r="Q321" s="24"/>
      <c r="R321" s="24"/>
      <c r="S321" s="24"/>
      <c r="T321" s="28">
        <f t="shared" ca="1" si="16"/>
        <v>46059</v>
      </c>
      <c r="U321" s="24"/>
    </row>
    <row r="322" spans="1:21" s="35" customFormat="1" ht="120" x14ac:dyDescent="0.25">
      <c r="A322" s="24" t="s">
        <v>494</v>
      </c>
      <c r="B322" s="24" t="s">
        <v>485</v>
      </c>
      <c r="C322" s="24" t="s">
        <v>183</v>
      </c>
      <c r="D322" s="24" t="str">
        <f>IF($C322="","",INDEX([2]PLAN_DESARROLLO!$B:$B,MATCH($C322,[2]PLAN_DESARROLLO!$A:$A,0)))</f>
        <v>2024257770014</v>
      </c>
      <c r="E322" s="24" t="str">
        <f>IF($C322="","",INDEX([2]PLAN_DESARROLLO!$C:$C,MATCH($C322,[2]PLAN_DESARROLLO!$A:$A,0)))</f>
        <v>POR EL SUPATÁ SOÑADO AVANZAMOS JUNTOS EN LA LÍNEA ESTRATÉGICA SOCIAL</v>
      </c>
      <c r="F322" s="24" t="str">
        <f>IF($C322="","",INDEX([2]PLAN_DESARROLLO!$D:$D,MATCH($C322,[2]PLAN_DESARROLLO!$A:$A,0)))</f>
        <v>POBLACIÓN VULNERABLE - CAPITULO ADULTO MAYOR</v>
      </c>
      <c r="G322" s="24" t="str">
        <f>IF($C322="","",INDEX([2]PLAN_DESARROLLO!$E:$E,MATCH($C322,[2]PLAN_DESARROLLO!$A:$A,0)))</f>
        <v>Implementar anualmente la estrategia Rehabilitacion basada en comunidad RBC con la población con discapacidad</v>
      </c>
      <c r="H322" s="25">
        <v>1</v>
      </c>
      <c r="I322" s="25">
        <v>1</v>
      </c>
      <c r="J322" s="26">
        <f t="shared" si="14"/>
        <v>1</v>
      </c>
      <c r="K322" s="27">
        <v>0</v>
      </c>
      <c r="L322" s="27">
        <v>0</v>
      </c>
      <c r="M322" s="26">
        <v>0</v>
      </c>
      <c r="N322" s="24" t="s">
        <v>679</v>
      </c>
      <c r="O322" s="24"/>
      <c r="P322" s="24" t="s">
        <v>502</v>
      </c>
      <c r="Q322" s="24" t="s">
        <v>506</v>
      </c>
      <c r="R322" s="24"/>
      <c r="S322" s="24" t="s">
        <v>673</v>
      </c>
      <c r="T322" s="28">
        <f t="shared" ca="1" si="16"/>
        <v>46059</v>
      </c>
      <c r="U322" s="24"/>
    </row>
    <row r="323" spans="1:21" s="35" customFormat="1" ht="120" x14ac:dyDescent="0.25">
      <c r="A323" s="24" t="s">
        <v>498</v>
      </c>
      <c r="B323" s="24" t="s">
        <v>485</v>
      </c>
      <c r="C323" s="24" t="s">
        <v>183</v>
      </c>
      <c r="D323" s="24" t="str">
        <f>IF($C323="","",INDEX([2]PLAN_DESARROLLO!$B:$B,MATCH($C323,[2]PLAN_DESARROLLO!$A:$A,0)))</f>
        <v>2024257770014</v>
      </c>
      <c r="E323" s="24" t="str">
        <f>IF($C323="","",INDEX([2]PLAN_DESARROLLO!$C:$C,MATCH($C323,[2]PLAN_DESARROLLO!$A:$A,0)))</f>
        <v>POR EL SUPATÁ SOÑADO AVANZAMOS JUNTOS EN LA LÍNEA ESTRATÉGICA SOCIAL</v>
      </c>
      <c r="F323" s="24" t="str">
        <f>IF($C323="","",INDEX([2]PLAN_DESARROLLO!$D:$D,MATCH($C323,[2]PLAN_DESARROLLO!$A:$A,0)))</f>
        <v>POBLACIÓN VULNERABLE - CAPITULO ADULTO MAYOR</v>
      </c>
      <c r="G323" s="24" t="str">
        <f>IF($C323="","",INDEX([2]PLAN_DESARROLLO!$E:$E,MATCH($C323,[2]PLAN_DESARROLLO!$A:$A,0)))</f>
        <v>Implementar anualmente la estrategia Rehabilitacion basada en comunidad RBC con la población con discapacidad</v>
      </c>
      <c r="H323" s="25">
        <v>1</v>
      </c>
      <c r="I323" s="25">
        <v>1</v>
      </c>
      <c r="J323" s="26">
        <f t="shared" si="14"/>
        <v>1</v>
      </c>
      <c r="K323" s="27">
        <v>0</v>
      </c>
      <c r="L323" s="27">
        <v>0</v>
      </c>
      <c r="M323" s="26">
        <f t="shared" si="15"/>
        <v>0</v>
      </c>
      <c r="N323" s="24" t="s">
        <v>679</v>
      </c>
      <c r="O323" s="24"/>
      <c r="P323" s="24" t="s">
        <v>502</v>
      </c>
      <c r="Q323" s="24" t="s">
        <v>506</v>
      </c>
      <c r="R323" s="24"/>
      <c r="S323" s="24" t="s">
        <v>673</v>
      </c>
      <c r="T323" s="28">
        <f t="shared" ca="1" si="16"/>
        <v>46059</v>
      </c>
      <c r="U323" s="24"/>
    </row>
    <row r="324" spans="1:21" s="35" customFormat="1" ht="30" x14ac:dyDescent="0.25">
      <c r="A324" s="24" t="s">
        <v>494</v>
      </c>
      <c r="B324" s="24" t="s">
        <v>485</v>
      </c>
      <c r="C324" s="24" t="s">
        <v>185</v>
      </c>
      <c r="D324" s="24" t="str">
        <f>IF($C324="","",INDEX([2]PLAN_DESARROLLO!$B:$B,MATCH($C324,[2]PLAN_DESARROLLO!$A:$A,0)))</f>
        <v>2024257770014</v>
      </c>
      <c r="E324" s="24" t="str">
        <f>IF($C324="","",INDEX([2]PLAN_DESARROLLO!$C:$C,MATCH($C324,[2]PLAN_DESARROLLO!$A:$A,0)))</f>
        <v>POR EL SUPATÁ SOÑADO AVANZAMOS JUNTOS EN LA LÍNEA ESTRATÉGICA SOCIAL</v>
      </c>
      <c r="F324" s="24" t="str">
        <f>IF($C324="","",INDEX([2]PLAN_DESARROLLO!$D:$D,MATCH($C324,[2]PLAN_DESARROLLO!$A:$A,0)))</f>
        <v>POBLACIÓN VULNERABLE - CAPITULO ADULTO MAYOR</v>
      </c>
      <c r="G324" s="24" t="str">
        <f>IF($C324="","",INDEX([2]PLAN_DESARROLLO!$E:$E,MATCH($C324,[2]PLAN_DESARROLLO!$A:$A,0)))</f>
        <v>Realizar 1 Actualizacion de la politica publica de discapacidad</v>
      </c>
      <c r="H324" s="25">
        <v>1</v>
      </c>
      <c r="I324" s="25">
        <v>0</v>
      </c>
      <c r="J324" s="26">
        <f t="shared" si="14"/>
        <v>0</v>
      </c>
      <c r="K324" s="27">
        <v>0</v>
      </c>
      <c r="L324" s="27">
        <v>0</v>
      </c>
      <c r="M324" s="26">
        <f t="shared" si="15"/>
        <v>0</v>
      </c>
      <c r="N324" s="24"/>
      <c r="O324" s="24"/>
      <c r="P324" s="24"/>
      <c r="Q324" s="24"/>
      <c r="R324" s="24"/>
      <c r="S324" s="24"/>
      <c r="T324" s="28">
        <f t="shared" ca="1" si="16"/>
        <v>46059</v>
      </c>
      <c r="U324" s="24"/>
    </row>
    <row r="325" spans="1:21" s="35" customFormat="1" ht="30" x14ac:dyDescent="0.25">
      <c r="A325" s="24" t="s">
        <v>498</v>
      </c>
      <c r="B325" s="24" t="s">
        <v>485</v>
      </c>
      <c r="C325" s="24" t="s">
        <v>185</v>
      </c>
      <c r="D325" s="24" t="str">
        <f>IF($C325="","",INDEX([2]PLAN_DESARROLLO!$B:$B,MATCH($C325,[2]PLAN_DESARROLLO!$A:$A,0)))</f>
        <v>2024257770014</v>
      </c>
      <c r="E325" s="24" t="str">
        <f>IF($C325="","",INDEX([2]PLAN_DESARROLLO!$C:$C,MATCH($C325,[2]PLAN_DESARROLLO!$A:$A,0)))</f>
        <v>POR EL SUPATÁ SOÑADO AVANZAMOS JUNTOS EN LA LÍNEA ESTRATÉGICA SOCIAL</v>
      </c>
      <c r="F325" s="24" t="str">
        <f>IF($C325="","",INDEX([2]PLAN_DESARROLLO!$D:$D,MATCH($C325,[2]PLAN_DESARROLLO!$A:$A,0)))</f>
        <v>POBLACIÓN VULNERABLE - CAPITULO ADULTO MAYOR</v>
      </c>
      <c r="G325" s="24" t="str">
        <f>IF($C325="","",INDEX([2]PLAN_DESARROLLO!$E:$E,MATCH($C325,[2]PLAN_DESARROLLO!$A:$A,0)))</f>
        <v>Realizar 1 Actualizacion de la politica publica de discapacidad</v>
      </c>
      <c r="H325" s="25">
        <v>1</v>
      </c>
      <c r="I325" s="25">
        <v>0</v>
      </c>
      <c r="J325" s="26">
        <f t="shared" si="14"/>
        <v>0</v>
      </c>
      <c r="K325" s="27">
        <v>0</v>
      </c>
      <c r="L325" s="27">
        <v>0</v>
      </c>
      <c r="M325" s="26">
        <f t="shared" si="15"/>
        <v>0</v>
      </c>
      <c r="N325" s="24"/>
      <c r="O325" s="24"/>
      <c r="P325" s="24"/>
      <c r="Q325" s="24"/>
      <c r="R325" s="24"/>
      <c r="S325" s="24"/>
      <c r="T325" s="28">
        <f t="shared" ca="1" si="16"/>
        <v>46059</v>
      </c>
      <c r="U325" s="24"/>
    </row>
    <row r="326" spans="1:21" ht="150" x14ac:dyDescent="0.25">
      <c r="A326" s="5" t="s">
        <v>494</v>
      </c>
      <c r="B326" s="5" t="s">
        <v>489</v>
      </c>
      <c r="C326" s="5" t="s">
        <v>347</v>
      </c>
      <c r="D326" s="5" t="str">
        <f>IF($C326="","",INDEX([3]PLAN_DESARROLLO!$B:$B,MATCH($C326,[3]PLAN_DESARROLLO!$A:$A,0)))</f>
        <v>2024257770030</v>
      </c>
      <c r="E326" s="5" t="str">
        <f>IF($C326="","",INDEX([3]PLAN_DESARROLLO!$C:$C,MATCH($C326,[3]PLAN_DESARROLLO!$A:$A,0)))</f>
        <v>POR EL SUPATÁ SOÑADO AVANZAMOS JUNTOS EN LA LÍNEA ESTRATÉGICA INSTITUCIONAL</v>
      </c>
      <c r="F326" s="5" t="str">
        <f>IF($C326="","",INDEX([3]PLAN_DESARROLLO!$D:$D,MATCH($C326,[3]PLAN_DESARROLLO!$A:$A,0)))</f>
        <v>FORTALECIMIENTO INSTITUCIONAL</v>
      </c>
      <c r="G326" s="5" t="str">
        <f>IF($C326="","",INDEX([3]PLAN_DESARROLLO!$E:$E,MATCH($C326,[3]PLAN_DESARROLLO!$A:$A,0)))</f>
        <v>Apoyo Jurídico y operativo para el proceso de cobro coactivo y la actualización del estatuto tributario Municipal.</v>
      </c>
      <c r="H326" s="12">
        <v>50</v>
      </c>
      <c r="I326" s="12">
        <v>120</v>
      </c>
      <c r="J326" s="6">
        <f t="shared" ref="J326:J389" si="17">IF(OR($H326="",$I326=""),"",IFERROR($I326/$H326,0))</f>
        <v>2.4</v>
      </c>
      <c r="K326" s="8">
        <v>41821200</v>
      </c>
      <c r="L326" s="8">
        <v>16000000</v>
      </c>
      <c r="M326" s="6">
        <f t="shared" ref="M326:M389" si="18">IF(OR($K326="",$L326=""),"",IFERROR($L326/$K326,0))</f>
        <v>0.38258108327833729</v>
      </c>
      <c r="N326" s="5" t="s">
        <v>680</v>
      </c>
      <c r="O326" s="5" t="s">
        <v>500</v>
      </c>
      <c r="P326" s="5" t="s">
        <v>502</v>
      </c>
      <c r="Q326" s="5" t="s">
        <v>497</v>
      </c>
      <c r="R326" s="5"/>
      <c r="S326" s="5"/>
      <c r="T326" s="10">
        <f ca="1">IF($A326="","",TODAY())</f>
        <v>46059</v>
      </c>
      <c r="U326" s="5" t="s">
        <v>681</v>
      </c>
    </row>
    <row r="327" spans="1:21" ht="240" x14ac:dyDescent="0.25">
      <c r="A327" s="5" t="s">
        <v>498</v>
      </c>
      <c r="B327" s="5" t="s">
        <v>489</v>
      </c>
      <c r="C327" s="5" t="s">
        <v>347</v>
      </c>
      <c r="D327" s="5" t="str">
        <f>IF($C327="","",INDEX([3]PLAN_DESARROLLO!$B:$B,MATCH($C327,[3]PLAN_DESARROLLO!$A:$A,0)))</f>
        <v>2024257770030</v>
      </c>
      <c r="E327" s="5" t="str">
        <f>IF($C327="","",INDEX([3]PLAN_DESARROLLO!$C:$C,MATCH($C327,[3]PLAN_DESARROLLO!$A:$A,0)))</f>
        <v>POR EL SUPATÁ SOÑADO AVANZAMOS JUNTOS EN LA LÍNEA ESTRATÉGICA INSTITUCIONAL</v>
      </c>
      <c r="F327" s="5" t="str">
        <f>IF($C327="","",INDEX([3]PLAN_DESARROLLO!$D:$D,MATCH($C327,[3]PLAN_DESARROLLO!$A:$A,0)))</f>
        <v>FORTALECIMIENTO INSTITUCIONAL</v>
      </c>
      <c r="G327" s="5" t="str">
        <f>IF($C327="","",INDEX([3]PLAN_DESARROLLO!$E:$E,MATCH($C327,[3]PLAN_DESARROLLO!$A:$A,0)))</f>
        <v>Apoyo Jurídico y operativo para el proceso de cobro coactivo y la actualización del estatuto tributario Municipal.</v>
      </c>
      <c r="H327" s="12">
        <v>50</v>
      </c>
      <c r="I327" s="12">
        <v>300</v>
      </c>
      <c r="J327" s="6">
        <f t="shared" si="17"/>
        <v>6</v>
      </c>
      <c r="K327" s="8">
        <v>50720000</v>
      </c>
      <c r="L327" s="8">
        <v>50720000</v>
      </c>
      <c r="M327" s="6">
        <f t="shared" si="18"/>
        <v>1</v>
      </c>
      <c r="N327" s="5" t="s">
        <v>682</v>
      </c>
      <c r="O327" s="5" t="s">
        <v>496</v>
      </c>
      <c r="P327" s="5" t="s">
        <v>502</v>
      </c>
      <c r="Q327" s="5" t="s">
        <v>512</v>
      </c>
      <c r="R327" s="5"/>
      <c r="S327" s="5" t="s">
        <v>683</v>
      </c>
      <c r="T327" s="10">
        <f ca="1">IF($A327="","",TODAY())</f>
        <v>46059</v>
      </c>
      <c r="U327" s="5" t="s">
        <v>681</v>
      </c>
    </row>
    <row r="328" spans="1:21" ht="60" x14ac:dyDescent="0.25">
      <c r="A328" s="5" t="s">
        <v>494</v>
      </c>
      <c r="B328" s="5" t="s">
        <v>489</v>
      </c>
      <c r="C328" s="5" t="s">
        <v>352</v>
      </c>
      <c r="D328" s="5" t="str">
        <f>IF($C328="","",INDEX([3]PLAN_DESARROLLO!$B:$B,MATCH($C328,[3]PLAN_DESARROLLO!$A:$A,0)))</f>
        <v>2024257770030</v>
      </c>
      <c r="E328" s="5" t="str">
        <f>IF($C328="","",INDEX([3]PLAN_DESARROLLO!$C:$C,MATCH($C328,[3]PLAN_DESARROLLO!$A:$A,0)))</f>
        <v>POR EL SUPATÁ SOÑADO AVANZAMOS JUNTOS EN LA LÍNEA ESTRATÉGICA INSTITUCIONAL</v>
      </c>
      <c r="F328" s="5" t="str">
        <f>IF($C328="","",INDEX([3]PLAN_DESARROLLO!$D:$D,MATCH($C328,[3]PLAN_DESARROLLO!$A:$A,0)))</f>
        <v>FORTALECIMIENTO INSTITUCIONAL</v>
      </c>
      <c r="G328" s="5" t="str">
        <f>IF($C328="","",INDEX([3]PLAN_DESARROLLO!$E:$E,MATCH($C328,[3]PLAN_DESARROLLO!$A:$A,0)))</f>
        <v>Modernización Tecnológica y administrativa para la Gestión Financiera y Fiscal del Municipio de Supatá Cundinamarca</v>
      </c>
      <c r="H328" s="12">
        <v>1000</v>
      </c>
      <c r="I328" s="12">
        <v>400</v>
      </c>
      <c r="J328" s="6">
        <f t="shared" si="17"/>
        <v>0.4</v>
      </c>
      <c r="K328" s="8">
        <v>0</v>
      </c>
      <c r="L328" s="8">
        <v>0</v>
      </c>
      <c r="M328" s="6">
        <f t="shared" si="18"/>
        <v>0</v>
      </c>
      <c r="N328" s="5"/>
      <c r="O328" s="5"/>
      <c r="P328" s="5"/>
      <c r="Q328" s="5"/>
      <c r="R328" s="5"/>
      <c r="S328" s="5" t="s">
        <v>684</v>
      </c>
      <c r="T328" s="10">
        <f ca="1">IF($A328="","",TODAY())</f>
        <v>46059</v>
      </c>
      <c r="U328" s="5" t="s">
        <v>681</v>
      </c>
    </row>
    <row r="329" spans="1:21" ht="135" x14ac:dyDescent="0.25">
      <c r="A329" s="5" t="s">
        <v>498</v>
      </c>
      <c r="B329" s="5" t="s">
        <v>489</v>
      </c>
      <c r="C329" s="5" t="s">
        <v>352</v>
      </c>
      <c r="D329" s="5" t="str">
        <f>IF($C329="","",INDEX([3]PLAN_DESARROLLO!$B:$B,MATCH($C329,[3]PLAN_DESARROLLO!$A:$A,0)))</f>
        <v>2024257770030</v>
      </c>
      <c r="E329" s="5" t="str">
        <f>IF($C329="","",INDEX([3]PLAN_DESARROLLO!$C:$C,MATCH($C329,[3]PLAN_DESARROLLO!$A:$A,0)))</f>
        <v>POR EL SUPATÁ SOÑADO AVANZAMOS JUNTOS EN LA LÍNEA ESTRATÉGICA INSTITUCIONAL</v>
      </c>
      <c r="F329" s="5" t="str">
        <f>IF($C329="","",INDEX([3]PLAN_DESARROLLO!$D:$D,MATCH($C329,[3]PLAN_DESARROLLO!$A:$A,0)))</f>
        <v>FORTALECIMIENTO INSTITUCIONAL</v>
      </c>
      <c r="G329" s="5" t="str">
        <f>IF($C329="","",INDEX([3]PLAN_DESARROLLO!$E:$E,MATCH($C329,[3]PLAN_DESARROLLO!$A:$A,0)))</f>
        <v>Modernización Tecnológica y administrativa para la Gestión Financiera y Fiscal del Municipio de Supatá Cundinamarca</v>
      </c>
      <c r="H329" s="12">
        <v>1000</v>
      </c>
      <c r="I329" s="12">
        <v>2000</v>
      </c>
      <c r="J329" s="6">
        <f t="shared" si="17"/>
        <v>2</v>
      </c>
      <c r="K329" s="8">
        <v>19726000</v>
      </c>
      <c r="L329" s="8">
        <v>19726000</v>
      </c>
      <c r="M329" s="6">
        <f t="shared" si="18"/>
        <v>1</v>
      </c>
      <c r="N329" s="5" t="s">
        <v>685</v>
      </c>
      <c r="O329" s="5" t="s">
        <v>496</v>
      </c>
      <c r="P329" s="5" t="s">
        <v>502</v>
      </c>
      <c r="Q329" s="5" t="s">
        <v>504</v>
      </c>
      <c r="R329" s="5"/>
      <c r="S329" s="5" t="s">
        <v>686</v>
      </c>
      <c r="T329" s="10">
        <f ca="1">IF($A329="","",TODAY())</f>
        <v>46059</v>
      </c>
      <c r="U329" s="5" t="s">
        <v>681</v>
      </c>
    </row>
    <row r="330" spans="1:21" ht="45" x14ac:dyDescent="0.25">
      <c r="A330" s="5" t="s">
        <v>494</v>
      </c>
      <c r="B330" s="5" t="s">
        <v>481</v>
      </c>
      <c r="C330" s="5" t="s">
        <v>354</v>
      </c>
      <c r="D330" s="5" t="str">
        <f>IF($C330="","",INDEX([4]PLAN_DESARROLLO!$B:$B,MATCH($C330,[4]PLAN_DESARROLLO!$A:$A,0)))</f>
        <v>2024257770030</v>
      </c>
      <c r="E330" s="5" t="str">
        <f>IF($C330="","",INDEX([4]PLAN_DESARROLLO!$C:$C,MATCH($C330,[4]PLAN_DESARROLLO!$A:$A,0)))</f>
        <v>POR EL SUPATÁ SOÑADO AVANZAMOS JUNTOS EN LA LÍNEA ESTRATÉGICA INSTITUCIONAL</v>
      </c>
      <c r="F330" s="5" t="str">
        <f>IF($C330="","",INDEX([4]PLAN_DESARROLLO!$D:$D,MATCH($C330,[4]PLAN_DESARROLLO!$A:$A,0)))</f>
        <v>FORTALECIMIENTO INSTITUCIONAL</v>
      </c>
      <c r="G330" s="5" t="str">
        <f>IF($C330="","",INDEX([4]PLAN_DESARROLLO!$E:$E,MATCH($C330,[4]PLAN_DESARROLLO!$A:$A,0)))</f>
        <v>Implementar un  programa  anual para el Fortalecimiento Institucional</v>
      </c>
      <c r="H330" s="12">
        <v>4</v>
      </c>
      <c r="I330" s="12">
        <v>1</v>
      </c>
      <c r="J330" s="6">
        <f t="shared" si="17"/>
        <v>0.25</v>
      </c>
      <c r="K330" s="8">
        <v>0</v>
      </c>
      <c r="L330" s="8">
        <v>0</v>
      </c>
      <c r="M330" s="6">
        <f t="shared" si="18"/>
        <v>0</v>
      </c>
      <c r="N330" s="5" t="s">
        <v>687</v>
      </c>
      <c r="O330" s="5" t="s">
        <v>496</v>
      </c>
      <c r="P330" s="5" t="s">
        <v>502</v>
      </c>
      <c r="Q330" s="5" t="s">
        <v>504</v>
      </c>
      <c r="R330" s="5"/>
      <c r="S330" s="5"/>
      <c r="T330" s="10">
        <f t="shared" ref="T330:T393" ca="1" si="19">IF($A330="","",TODAY())</f>
        <v>46059</v>
      </c>
      <c r="U330" s="5"/>
    </row>
    <row r="331" spans="1:21" ht="45" x14ac:dyDescent="0.25">
      <c r="A331" s="5" t="s">
        <v>494</v>
      </c>
      <c r="B331" s="5" t="s">
        <v>481</v>
      </c>
      <c r="C331" s="5" t="s">
        <v>360</v>
      </c>
      <c r="D331" s="5" t="str">
        <f>IF($C331="","",INDEX([4]PLAN_DESARROLLO!$B:$B,MATCH($C331,[4]PLAN_DESARROLLO!$A:$A,0)))</f>
        <v>2024257770030</v>
      </c>
      <c r="E331" s="5" t="str">
        <f>IF($C331="","",INDEX([4]PLAN_DESARROLLO!$C:$C,MATCH($C331,[4]PLAN_DESARROLLO!$A:$A,0)))</f>
        <v>POR EL SUPATÁ SOÑADO AVANZAMOS JUNTOS EN LA LÍNEA ESTRATÉGICA INSTITUCIONAL</v>
      </c>
      <c r="F331" s="5" t="str">
        <f>IF($C331="","",INDEX([4]PLAN_DESARROLLO!$D:$D,MATCH($C331,[4]PLAN_DESARROLLO!$A:$A,0)))</f>
        <v>FORTALECIMIENTO INSTITUCIONAL</v>
      </c>
      <c r="G331" s="5" t="str">
        <f>IF($C331="","",INDEX([4]PLAN_DESARROLLO!$E:$E,MATCH($C331,[4]PLAN_DESARROLLO!$A:$A,0)))</f>
        <v>Implementar y ejecutar un Programa anual del Sistema General de Seguridad y Salud en el trabajo en el cuatrienio</v>
      </c>
      <c r="H331" s="12">
        <v>4</v>
      </c>
      <c r="I331" s="12">
        <v>1</v>
      </c>
      <c r="J331" s="6">
        <f t="shared" si="17"/>
        <v>0.25</v>
      </c>
      <c r="K331" s="8">
        <v>24200000</v>
      </c>
      <c r="L331" s="8">
        <v>24200000</v>
      </c>
      <c r="M331" s="6">
        <f t="shared" si="18"/>
        <v>1</v>
      </c>
      <c r="N331" s="5" t="s">
        <v>688</v>
      </c>
      <c r="O331" s="5" t="s">
        <v>500</v>
      </c>
      <c r="P331" s="5" t="s">
        <v>502</v>
      </c>
      <c r="Q331" s="5" t="s">
        <v>504</v>
      </c>
      <c r="R331" s="5"/>
      <c r="S331" s="5"/>
      <c r="T331" s="10">
        <f t="shared" ca="1" si="19"/>
        <v>46059</v>
      </c>
      <c r="U331" s="5"/>
    </row>
    <row r="332" spans="1:21" ht="45" x14ac:dyDescent="0.25">
      <c r="A332" s="5" t="s">
        <v>494</v>
      </c>
      <c r="B332" s="5" t="s">
        <v>481</v>
      </c>
      <c r="C332" s="29" t="s">
        <v>362</v>
      </c>
      <c r="D332" s="5" t="str">
        <f>IF($C332="","",INDEX([4]PLAN_DESARROLLO!$B:$B,MATCH($C332,[4]PLAN_DESARROLLO!$A:$A,0)))</f>
        <v>2024257770030</v>
      </c>
      <c r="E332" s="5" t="str">
        <f>IF($C332="","",INDEX([4]PLAN_DESARROLLO!$C:$C,MATCH($C332,[4]PLAN_DESARROLLO!$A:$A,0)))</f>
        <v>POR EL SUPATÁ SOÑADO AVANZAMOS JUNTOS EN LA LÍNEA ESTRATÉGICA INSTITUCIONAL</v>
      </c>
      <c r="F332" s="5" t="str">
        <f>IF($C332="","",INDEX([4]PLAN_DESARROLLO!$D:$D,MATCH($C332,[4]PLAN_DESARROLLO!$A:$A,0)))</f>
        <v>FORTALECIMIENTO INSTITUCIONAL</v>
      </c>
      <c r="G332" s="5" t="str">
        <f>IF($C332="","",INDEX([4]PLAN_DESARROLLO!$E:$E,MATCH($C332,[4]PLAN_DESARROLLO!$A:$A,0)))</f>
        <v>Realizar anualmente  la contratacion de personal especializado, profesional, tecnico y asistencial en la prestacion de servicios y  apoyo de la gestion en las dependencias de la administracion municipal</v>
      </c>
      <c r="H332" s="12">
        <v>4</v>
      </c>
      <c r="I332" s="12">
        <v>1</v>
      </c>
      <c r="J332" s="6">
        <f t="shared" si="17"/>
        <v>0.25</v>
      </c>
      <c r="K332" s="8">
        <v>93120350</v>
      </c>
      <c r="L332" s="8">
        <v>93120350</v>
      </c>
      <c r="M332" s="6">
        <f t="shared" si="18"/>
        <v>1</v>
      </c>
      <c r="N332" s="5" t="s">
        <v>689</v>
      </c>
      <c r="O332" s="5"/>
      <c r="P332" s="5" t="s">
        <v>502</v>
      </c>
      <c r="Q332" s="5" t="s">
        <v>504</v>
      </c>
      <c r="R332" s="5"/>
      <c r="S332" s="5"/>
      <c r="T332" s="10">
        <f t="shared" ca="1" si="19"/>
        <v>46059</v>
      </c>
      <c r="U332" s="5"/>
    </row>
    <row r="333" spans="1:21" ht="30" x14ac:dyDescent="0.25">
      <c r="A333" s="5" t="s">
        <v>494</v>
      </c>
      <c r="B333" s="5" t="s">
        <v>481</v>
      </c>
      <c r="C333" s="5" t="s">
        <v>364</v>
      </c>
      <c r="D333" s="5" t="str">
        <f>IF($C333="","",INDEX([4]PLAN_DESARROLLO!$B:$B,MATCH($C333,[4]PLAN_DESARROLLO!$A:$A,0)))</f>
        <v>2024257770030</v>
      </c>
      <c r="E333" s="5" t="str">
        <f>IF($C333="","",INDEX([4]PLAN_DESARROLLO!$C:$C,MATCH($C333,[4]PLAN_DESARROLLO!$A:$A,0)))</f>
        <v>POR EL SUPATÁ SOÑADO AVANZAMOS JUNTOS EN LA LÍNEA ESTRATÉGICA INSTITUCIONAL</v>
      </c>
      <c r="F333" s="5" t="str">
        <f>IF($C333="","",INDEX([4]PLAN_DESARROLLO!$D:$D,MATCH($C333,[4]PLAN_DESARROLLO!$A:$A,0)))</f>
        <v>FORTALECIMIENTO INSTITUCIONAL</v>
      </c>
      <c r="G333" s="5" t="str">
        <f>IF($C333="","",INDEX([4]PLAN_DESARROLLO!$E:$E,MATCH($C333,[4]PLAN_DESARROLLO!$A:$A,0)))</f>
        <v>Implementar un Plan Anual de Bienestar  e Incentivos para los funcionarios de la administración municipal</v>
      </c>
      <c r="H333" s="12">
        <v>4</v>
      </c>
      <c r="I333" s="12">
        <v>1</v>
      </c>
      <c r="J333" s="6">
        <f t="shared" si="17"/>
        <v>0.25</v>
      </c>
      <c r="K333" s="8">
        <v>24160000</v>
      </c>
      <c r="L333" s="8">
        <v>24160000</v>
      </c>
      <c r="M333" s="6">
        <f t="shared" si="18"/>
        <v>1</v>
      </c>
      <c r="N333" s="5" t="s">
        <v>690</v>
      </c>
      <c r="O333" s="5" t="s">
        <v>500</v>
      </c>
      <c r="P333" s="5" t="s">
        <v>502</v>
      </c>
      <c r="Q333" s="5" t="s">
        <v>504</v>
      </c>
      <c r="R333" s="5"/>
      <c r="S333" s="5"/>
      <c r="T333" s="10">
        <f t="shared" ca="1" si="19"/>
        <v>46059</v>
      </c>
      <c r="U333" s="5"/>
    </row>
    <row r="334" spans="1:21" ht="45" x14ac:dyDescent="0.25">
      <c r="A334" s="5" t="s">
        <v>494</v>
      </c>
      <c r="B334" s="5" t="s">
        <v>481</v>
      </c>
      <c r="C334" s="5" t="s">
        <v>366</v>
      </c>
      <c r="D334" s="5" t="str">
        <f>IF($C334="","",INDEX([4]PLAN_DESARROLLO!$B:$B,MATCH($C334,[4]PLAN_DESARROLLO!$A:$A,0)))</f>
        <v>2024257770030</v>
      </c>
      <c r="E334" s="5" t="str">
        <f>IF($C334="","",INDEX([4]PLAN_DESARROLLO!$C:$C,MATCH($C334,[4]PLAN_DESARROLLO!$A:$A,0)))</f>
        <v>POR EL SUPATÁ SOÑADO AVANZAMOS JUNTOS EN LA LÍNEA ESTRATÉGICA INSTITUCIONAL</v>
      </c>
      <c r="F334" s="5" t="str">
        <f>IF($C334="","",INDEX([4]PLAN_DESARROLLO!$D:$D,MATCH($C334,[4]PLAN_DESARROLLO!$A:$A,0)))</f>
        <v>FORTALECIMIENTO INSTITUCIONAL</v>
      </c>
      <c r="G334" s="5" t="str">
        <f>IF($C334="","",INDEX([4]PLAN_DESARROLLO!$E:$E,MATCH($C334,[4]PLAN_DESARROLLO!$A:$A,0)))</f>
        <v>Organizar los archivos de gestión y fondos acumulados de la Administración Municipal  de acuerdo a las  normas vigentes relacionada con los archivos, durante el cuatrienio</v>
      </c>
      <c r="H334" s="12">
        <v>4</v>
      </c>
      <c r="I334" s="12">
        <v>1</v>
      </c>
      <c r="J334" s="6">
        <f t="shared" si="17"/>
        <v>0.25</v>
      </c>
      <c r="K334" s="8">
        <v>17040000</v>
      </c>
      <c r="L334" s="8">
        <v>17040000</v>
      </c>
      <c r="M334" s="6">
        <f t="shared" si="18"/>
        <v>1</v>
      </c>
      <c r="N334" s="5" t="s">
        <v>691</v>
      </c>
      <c r="O334" s="5" t="s">
        <v>500</v>
      </c>
      <c r="P334" s="5" t="s">
        <v>502</v>
      </c>
      <c r="Q334" s="5" t="s">
        <v>504</v>
      </c>
      <c r="R334" s="5"/>
      <c r="S334" s="5"/>
      <c r="T334" s="10">
        <f t="shared" ca="1" si="19"/>
        <v>46059</v>
      </c>
      <c r="U334" s="5"/>
    </row>
    <row r="335" spans="1:21" ht="30" x14ac:dyDescent="0.25">
      <c r="A335" s="5" t="s">
        <v>494</v>
      </c>
      <c r="B335" s="5" t="s">
        <v>481</v>
      </c>
      <c r="C335" s="5" t="s">
        <v>387</v>
      </c>
      <c r="D335" s="5" t="str">
        <f>IF($C335="","",INDEX([4]PLAN_DESARROLLO!$B:$B,MATCH($C335,[4]PLAN_DESARROLLO!$A:$A,0)))</f>
        <v>2024257770032</v>
      </c>
      <c r="E335" s="5" t="str">
        <f>IF($C335="","",INDEX([4]PLAN_DESARROLLO!$C:$C,MATCH($C335,[4]PLAN_DESARROLLO!$A:$A,0)))</f>
        <v>POR EL SUPATÁ SOÑADO AVANZAMOS JUNTOS EN LA LÍNEA ESTRATÉGICA INSTITUCIONAL</v>
      </c>
      <c r="F335" s="5" t="str">
        <f>IF($C335="","",INDEX([4]PLAN_DESARROLLO!$D:$D,MATCH($C335,[4]PLAN_DESARROLLO!$A:$A,0)))</f>
        <v>DESARROLLO COMUNITARIO</v>
      </c>
      <c r="G335" s="5" t="str">
        <f>IF($C335="","",INDEX([4]PLAN_DESARROLLO!$E:$E,MATCH($C335,[4]PLAN_DESARROLLO!$A:$A,0)))</f>
        <v xml:space="preserve">Efectuar 04 actividades encaminadas a reactivar y fortalecer los espacios de participación. </v>
      </c>
      <c r="H335" s="12">
        <v>4</v>
      </c>
      <c r="I335" s="12">
        <v>0</v>
      </c>
      <c r="J335" s="6">
        <f t="shared" si="17"/>
        <v>0</v>
      </c>
      <c r="K335" s="8">
        <v>0</v>
      </c>
      <c r="L335" s="8">
        <v>0</v>
      </c>
      <c r="M335" s="6">
        <f t="shared" si="18"/>
        <v>0</v>
      </c>
      <c r="N335" s="5" t="s">
        <v>692</v>
      </c>
      <c r="O335" s="5"/>
      <c r="P335" s="5" t="s">
        <v>495</v>
      </c>
      <c r="Q335" s="5" t="s">
        <v>504</v>
      </c>
      <c r="R335" s="5"/>
      <c r="S335" s="5"/>
      <c r="T335" s="10">
        <f t="shared" ca="1" si="19"/>
        <v>46059</v>
      </c>
      <c r="U335" s="5"/>
    </row>
    <row r="336" spans="1:21" ht="30" x14ac:dyDescent="0.25">
      <c r="A336" s="5" t="s">
        <v>494</v>
      </c>
      <c r="B336" s="5" t="s">
        <v>481</v>
      </c>
      <c r="C336" s="5" t="s">
        <v>391</v>
      </c>
      <c r="D336" s="5" t="str">
        <f>IF($C336="","",INDEX([4]PLAN_DESARROLLO!$B:$B,MATCH($C336,[4]PLAN_DESARROLLO!$A:$A,0)))</f>
        <v>2024257770032</v>
      </c>
      <c r="E336" s="5" t="str">
        <f>IF($C336="","",INDEX([4]PLAN_DESARROLLO!$C:$C,MATCH($C336,[4]PLAN_DESARROLLO!$A:$A,0)))</f>
        <v>POR EL SUPATÁ SOÑADO AVANZAMOS JUNTOS EN LA LÍNEA ESTRATÉGICA INSTITUCIONAL</v>
      </c>
      <c r="F336" s="5" t="str">
        <f>IF($C336="","",INDEX([4]PLAN_DESARROLLO!$D:$D,MATCH($C336,[4]PLAN_DESARROLLO!$A:$A,0)))</f>
        <v>DESARROLLO COMUNITARIO</v>
      </c>
      <c r="G336" s="5" t="str">
        <f>IF($C336="","",INDEX([4]PLAN_DESARROLLO!$E:$E,MATCH($C336,[4]PLAN_DESARROLLO!$A:$A,0)))</f>
        <v>Realizar 04 capacitaciones para fortalecer las juntas de acción comunal.</v>
      </c>
      <c r="H336" s="12">
        <v>4</v>
      </c>
      <c r="I336" s="12">
        <v>0</v>
      </c>
      <c r="J336" s="6">
        <f t="shared" si="17"/>
        <v>0</v>
      </c>
      <c r="K336" s="8">
        <v>0</v>
      </c>
      <c r="L336" s="8">
        <v>0</v>
      </c>
      <c r="M336" s="6">
        <f t="shared" si="18"/>
        <v>0</v>
      </c>
      <c r="N336" s="5" t="s">
        <v>692</v>
      </c>
      <c r="O336" s="5"/>
      <c r="P336" s="5" t="s">
        <v>495</v>
      </c>
      <c r="Q336" s="5" t="s">
        <v>504</v>
      </c>
      <c r="R336" s="5"/>
      <c r="S336" s="5"/>
      <c r="T336" s="10">
        <f t="shared" ca="1" si="19"/>
        <v>46059</v>
      </c>
      <c r="U336" s="5"/>
    </row>
    <row r="337" spans="1:21" ht="30" x14ac:dyDescent="0.25">
      <c r="A337" s="5" t="s">
        <v>494</v>
      </c>
      <c r="B337" s="5" t="s">
        <v>481</v>
      </c>
      <c r="C337" s="5" t="s">
        <v>393</v>
      </c>
      <c r="D337" s="5" t="str">
        <f>IF($C337="","",INDEX([4]PLAN_DESARROLLO!$B:$B,MATCH($C337,[4]PLAN_DESARROLLO!$A:$A,0)))</f>
        <v>2024257770032</v>
      </c>
      <c r="E337" s="5" t="str">
        <f>IF($C337="","",INDEX([4]PLAN_DESARROLLO!$C:$C,MATCH($C337,[4]PLAN_DESARROLLO!$A:$A,0)))</f>
        <v>POR EL SUPATÁ SOÑADO AVANZAMOS JUNTOS EN LA LÍNEA ESTRATÉGICA INSTITUCIONAL</v>
      </c>
      <c r="F337" s="5" t="str">
        <f>IF($C337="","",INDEX([4]PLAN_DESARROLLO!$D:$D,MATCH($C337,[4]PLAN_DESARROLLO!$A:$A,0)))</f>
        <v>DESARROLLO COMUNITARIO</v>
      </c>
      <c r="G337" s="5" t="str">
        <f>IF($C337="","",INDEX([4]PLAN_DESARROLLO!$E:$E,MATCH($C337,[4]PLAN_DESARROLLO!$A:$A,0)))</f>
        <v>Realizar 4 rendiciones de cuentas sobre la gestión de la administración municipal.</v>
      </c>
      <c r="H337" s="12">
        <v>4</v>
      </c>
      <c r="I337" s="12">
        <v>1</v>
      </c>
      <c r="J337" s="6">
        <f t="shared" si="17"/>
        <v>0.25</v>
      </c>
      <c r="K337" s="8">
        <v>0</v>
      </c>
      <c r="L337" s="8">
        <v>0</v>
      </c>
      <c r="M337" s="6">
        <f t="shared" si="18"/>
        <v>0</v>
      </c>
      <c r="N337" s="5" t="s">
        <v>693</v>
      </c>
      <c r="O337" s="5"/>
      <c r="P337" s="5" t="s">
        <v>502</v>
      </c>
      <c r="Q337" s="5" t="s">
        <v>504</v>
      </c>
      <c r="R337" s="5"/>
      <c r="S337" s="5"/>
      <c r="T337" s="10">
        <f t="shared" ca="1" si="19"/>
        <v>46059</v>
      </c>
      <c r="U337" s="5"/>
    </row>
    <row r="338" spans="1:21" ht="30" x14ac:dyDescent="0.25">
      <c r="A338" s="5" t="s">
        <v>494</v>
      </c>
      <c r="B338" s="5" t="s">
        <v>481</v>
      </c>
      <c r="C338" s="5" t="s">
        <v>395</v>
      </c>
      <c r="D338" s="5" t="str">
        <f>IF($C338="","",INDEX([4]PLAN_DESARROLLO!$B:$B,MATCH($C338,[4]PLAN_DESARROLLO!$A:$A,0)))</f>
        <v>2024257770032</v>
      </c>
      <c r="E338" s="5" t="str">
        <f>IF($C338="","",INDEX([4]PLAN_DESARROLLO!$C:$C,MATCH($C338,[4]PLAN_DESARROLLO!$A:$A,0)))</f>
        <v>POR EL SUPATÁ SOÑADO AVANZAMOS JUNTOS EN LA LÍNEA ESTRATÉGICA INSTITUCIONAL</v>
      </c>
      <c r="F338" s="5" t="str">
        <f>IF($C338="","",INDEX([4]PLAN_DESARROLLO!$D:$D,MATCH($C338,[4]PLAN_DESARROLLO!$A:$A,0)))</f>
        <v>DESARROLLO COMUNITARIO</v>
      </c>
      <c r="G338" s="5" t="str">
        <f>IF($C338="","",INDEX([4]PLAN_DESARROLLO!$E:$E,MATCH($C338,[4]PLAN_DESARROLLO!$A:$A,0)))</f>
        <v>Promover 1 veeduría ciudadana como espacio garante de control social.</v>
      </c>
      <c r="H338" s="12">
        <v>1</v>
      </c>
      <c r="I338" s="12">
        <v>0</v>
      </c>
      <c r="J338" s="6">
        <f t="shared" si="17"/>
        <v>0</v>
      </c>
      <c r="K338" s="8">
        <v>0</v>
      </c>
      <c r="L338" s="8">
        <v>0</v>
      </c>
      <c r="M338" s="6">
        <f t="shared" si="18"/>
        <v>0</v>
      </c>
      <c r="N338" s="5" t="s">
        <v>694</v>
      </c>
      <c r="O338" s="5"/>
      <c r="P338" s="5" t="s">
        <v>495</v>
      </c>
      <c r="Q338" s="5" t="s">
        <v>504</v>
      </c>
      <c r="R338" s="5"/>
      <c r="S338" s="5"/>
      <c r="T338" s="10">
        <f t="shared" ca="1" si="19"/>
        <v>46059</v>
      </c>
      <c r="U338" s="5"/>
    </row>
    <row r="339" spans="1:21" ht="30" x14ac:dyDescent="0.25">
      <c r="A339" s="5" t="s">
        <v>494</v>
      </c>
      <c r="B339" s="5" t="s">
        <v>481</v>
      </c>
      <c r="C339" s="5" t="s">
        <v>397</v>
      </c>
      <c r="D339" s="5" t="str">
        <f>IF($C339="","",INDEX([4]PLAN_DESARROLLO!$B:$B,MATCH($C339,[4]PLAN_DESARROLLO!$A:$A,0)))</f>
        <v>2024257770033</v>
      </c>
      <c r="E339" s="5" t="str">
        <f>IF($C339="","",INDEX([4]PLAN_DESARROLLO!$C:$C,MATCH($C339,[4]PLAN_DESARROLLO!$A:$A,0)))</f>
        <v>POR EL SUPATÁ SOÑADO AVANZAMOS JUNTOS EN LA LÍNEA ESTRATÉGICA INSTITUCIONAL</v>
      </c>
      <c r="F339" s="5" t="str">
        <f>IF($C339="","",INDEX([4]PLAN_DESARROLLO!$D:$D,MATCH($C339,[4]PLAN_DESARROLLO!$A:$A,0)))</f>
        <v>DESARROLLO COMUNITARIO</v>
      </c>
      <c r="G339" s="5" t="str">
        <f>IF($C339="","",INDEX([4]PLAN_DESARROLLO!$E:$E,MATCH($C339,[4]PLAN_DESARROLLO!$A:$A,0)))</f>
        <v>Actualizar el plan integral de convivencia ciudadana</v>
      </c>
      <c r="H339" s="12">
        <v>1</v>
      </c>
      <c r="I339" s="12">
        <v>0</v>
      </c>
      <c r="J339" s="6">
        <f t="shared" si="17"/>
        <v>0</v>
      </c>
      <c r="K339" s="8">
        <v>0</v>
      </c>
      <c r="L339" s="8">
        <v>0</v>
      </c>
      <c r="M339" s="6">
        <f t="shared" si="18"/>
        <v>0</v>
      </c>
      <c r="N339" s="5" t="s">
        <v>694</v>
      </c>
      <c r="O339" s="5"/>
      <c r="P339" s="5" t="s">
        <v>495</v>
      </c>
      <c r="Q339" s="5" t="s">
        <v>504</v>
      </c>
      <c r="R339" s="5"/>
      <c r="S339" s="5"/>
      <c r="T339" s="10">
        <f t="shared" ca="1" si="19"/>
        <v>46059</v>
      </c>
      <c r="U339" s="5"/>
    </row>
    <row r="340" spans="1:21" ht="30" x14ac:dyDescent="0.25">
      <c r="A340" s="5" t="s">
        <v>494</v>
      </c>
      <c r="B340" s="5" t="s">
        <v>481</v>
      </c>
      <c r="C340" s="5" t="s">
        <v>400</v>
      </c>
      <c r="D340" s="5" t="str">
        <f>IF($C340="","",INDEX([4]PLAN_DESARROLLO!$B:$B,MATCH($C340,[4]PLAN_DESARROLLO!$A:$A,0)))</f>
        <v>2024257770033</v>
      </c>
      <c r="E340" s="5" t="str">
        <f>IF($C340="","",INDEX([4]PLAN_DESARROLLO!$C:$C,MATCH($C340,[4]PLAN_DESARROLLO!$A:$A,0)))</f>
        <v>POR EL SUPATÁ SOÑADO AVANZAMOS JUNTOS EN LA LÍNEA ESTRATÉGICA INSTITUCIONAL</v>
      </c>
      <c r="F340" s="5" t="str">
        <f>IF($C340="","",INDEX([4]PLAN_DESARROLLO!$D:$D,MATCH($C340,[4]PLAN_DESARROLLO!$A:$A,0)))</f>
        <v>DESARROLLO COMUNITARIO</v>
      </c>
      <c r="G340" s="5" t="str">
        <f>IF($C340="","",INDEX([4]PLAN_DESARROLLO!$E:$E,MATCH($C340,[4]PLAN_DESARROLLO!$A:$A,0)))</f>
        <v>Realizar (4) actividades que involucren temas de seguridad y colaboración.</v>
      </c>
      <c r="H340" s="12">
        <v>4</v>
      </c>
      <c r="I340" s="12">
        <v>1</v>
      </c>
      <c r="J340" s="6">
        <f t="shared" si="17"/>
        <v>0.25</v>
      </c>
      <c r="K340" s="8">
        <v>0</v>
      </c>
      <c r="L340" s="8">
        <v>0</v>
      </c>
      <c r="M340" s="6">
        <f t="shared" si="18"/>
        <v>0</v>
      </c>
      <c r="N340" s="5" t="s">
        <v>695</v>
      </c>
      <c r="O340" s="5"/>
      <c r="P340" s="5" t="s">
        <v>502</v>
      </c>
      <c r="Q340" s="5" t="s">
        <v>504</v>
      </c>
      <c r="R340" s="5"/>
      <c r="S340" s="5"/>
      <c r="T340" s="10">
        <f t="shared" ca="1" si="19"/>
        <v>46059</v>
      </c>
      <c r="U340" s="5"/>
    </row>
    <row r="341" spans="1:21" ht="30" x14ac:dyDescent="0.25">
      <c r="A341" s="5" t="s">
        <v>494</v>
      </c>
      <c r="B341" s="5" t="s">
        <v>481</v>
      </c>
      <c r="C341" s="5" t="s">
        <v>402</v>
      </c>
      <c r="D341" s="5" t="str">
        <f>IF($C341="","",INDEX([4]PLAN_DESARROLLO!$B:$B,MATCH($C341,[4]PLAN_DESARROLLO!$A:$A,0)))</f>
        <v>2024257770033</v>
      </c>
      <c r="E341" s="5" t="str">
        <f>IF($C341="","",INDEX([4]PLAN_DESARROLLO!$C:$C,MATCH($C341,[4]PLAN_DESARROLLO!$A:$A,0)))</f>
        <v>POR EL SUPATÁ SOÑADO AVANZAMOS JUNTOS EN LA LÍNEA ESTRATÉGICA INSTITUCIONAL</v>
      </c>
      <c r="F341" s="5" t="str">
        <f>IF($C341="","",INDEX([4]PLAN_DESARROLLO!$D:$D,MATCH($C341,[4]PLAN_DESARROLLO!$A:$A,0)))</f>
        <v>DESARROLLO COMUNITARIO</v>
      </c>
      <c r="G341" s="5" t="str">
        <f>IF($C341="","",INDEX([4]PLAN_DESARROLLO!$E:$E,MATCH($C341,[4]PLAN_DESARROLLO!$A:$A,0)))</f>
        <v>Realizar 4 asistencias tecnicas sobre prevención a violaciones de derechos humanos</v>
      </c>
      <c r="H341" s="12">
        <v>4</v>
      </c>
      <c r="I341" s="12">
        <v>1</v>
      </c>
      <c r="J341" s="6">
        <f t="shared" si="17"/>
        <v>0.25</v>
      </c>
      <c r="K341" s="8">
        <v>0</v>
      </c>
      <c r="L341" s="8">
        <v>0</v>
      </c>
      <c r="M341" s="6">
        <f t="shared" si="18"/>
        <v>0</v>
      </c>
      <c r="N341" s="5" t="s">
        <v>696</v>
      </c>
      <c r="O341" s="5"/>
      <c r="P341" s="5" t="s">
        <v>502</v>
      </c>
      <c r="Q341" s="5" t="s">
        <v>504</v>
      </c>
      <c r="R341" s="5"/>
      <c r="S341" s="5"/>
      <c r="T341" s="10">
        <f t="shared" ca="1" si="19"/>
        <v>46059</v>
      </c>
      <c r="U341" s="5"/>
    </row>
    <row r="342" spans="1:21" ht="60" x14ac:dyDescent="0.25">
      <c r="A342" s="5" t="s">
        <v>494</v>
      </c>
      <c r="B342" s="5" t="s">
        <v>481</v>
      </c>
      <c r="C342" s="5" t="s">
        <v>408</v>
      </c>
      <c r="D342" s="5" t="str">
        <f>IF($C342="","",INDEX([4]PLAN_DESARROLLO!$B:$B,MATCH($C342,[4]PLAN_DESARROLLO!$A:$A,0)))</f>
        <v>2024257770035</v>
      </c>
      <c r="E342" s="5" t="str">
        <f>IF($C342="","",INDEX([4]PLAN_DESARROLLO!$C:$C,MATCH($C342,[4]PLAN_DESARROLLO!$A:$A,0)))</f>
        <v>POR EL SUPATÁ SOÑADO AVANZAMOS JUNTOS EN LA LÍNEA ESTRATÉGICA INSTITUCIONAL</v>
      </c>
      <c r="F342" s="5" t="str">
        <f>IF($C342="","",INDEX([4]PLAN_DESARROLLO!$D:$D,MATCH($C342,[4]PLAN_DESARROLLO!$A:$A,0)))</f>
        <v>JUSTICIA Y SEGURIDAD CIUDADANA</v>
      </c>
      <c r="G342" s="5" t="str">
        <f>IF($C342="","",INDEX([4]PLAN_DESARROLLO!$E:$E,MATCH($C342,[4]PLAN_DESARROLLO!$A:$A,0)))</f>
        <v>fortalecer el grupo interdisciplinario de la comisaria de familia para Garantizar, proteger, restablecer y reparar los derechos de los miembros de la familia sgp libre destinacion 135millones + 15 m pro justicia familiar estampilla todos los años</v>
      </c>
      <c r="H342" s="12">
        <v>4</v>
      </c>
      <c r="I342" s="12">
        <v>1</v>
      </c>
      <c r="J342" s="6">
        <f t="shared" si="17"/>
        <v>0.25</v>
      </c>
      <c r="K342" s="8">
        <v>96379866</v>
      </c>
      <c r="L342" s="8">
        <v>96379866</v>
      </c>
      <c r="M342" s="6">
        <f t="shared" si="18"/>
        <v>1</v>
      </c>
      <c r="N342" s="5" t="s">
        <v>697</v>
      </c>
      <c r="O342" s="5" t="s">
        <v>500</v>
      </c>
      <c r="P342" s="5" t="s">
        <v>502</v>
      </c>
      <c r="Q342" s="5" t="s">
        <v>504</v>
      </c>
      <c r="R342" s="5"/>
      <c r="S342" s="5"/>
      <c r="T342" s="10">
        <f t="shared" ca="1" si="19"/>
        <v>46059</v>
      </c>
      <c r="U342" s="5"/>
    </row>
    <row r="343" spans="1:21" ht="30" x14ac:dyDescent="0.25">
      <c r="A343" s="5" t="s">
        <v>494</v>
      </c>
      <c r="B343" s="5" t="s">
        <v>481</v>
      </c>
      <c r="C343" s="5" t="s">
        <v>412</v>
      </c>
      <c r="D343" s="5" t="str">
        <f>IF($C343="","",INDEX([4]PLAN_DESARROLLO!$B:$B,MATCH($C343,[4]PLAN_DESARROLLO!$A:$A,0)))</f>
        <v>2024257770035</v>
      </c>
      <c r="E343" s="5" t="str">
        <f>IF($C343="","",INDEX([4]PLAN_DESARROLLO!$C:$C,MATCH($C343,[4]PLAN_DESARROLLO!$A:$A,0)))</f>
        <v>POR EL SUPATÁ SOÑADO AVANZAMOS JUNTOS EN LA LÍNEA ESTRATÉGICA INSTITUCIONAL</v>
      </c>
      <c r="F343" s="5" t="str">
        <f>IF($C343="","",INDEX([4]PLAN_DESARROLLO!$D:$D,MATCH($C343,[4]PLAN_DESARROLLO!$A:$A,0)))</f>
        <v>JUSTICIA Y SEGURIDAD CIUDADANA</v>
      </c>
      <c r="G343" s="5" t="str">
        <f>IF($C343="","",INDEX([4]PLAN_DESARROLLO!$E:$E,MATCH($C343,[4]PLAN_DESARROLLO!$A:$A,0)))</f>
        <v>Apoyar anualmente a la inspeccion de policia  90Millones SPG libre destinación todos los años auumentar 5% al año</v>
      </c>
      <c r="H343" s="12">
        <v>4</v>
      </c>
      <c r="I343" s="12">
        <v>1</v>
      </c>
      <c r="J343" s="6">
        <f t="shared" si="17"/>
        <v>0.25</v>
      </c>
      <c r="K343" s="8">
        <v>35350192</v>
      </c>
      <c r="L343" s="8">
        <v>35350192</v>
      </c>
      <c r="M343" s="6">
        <f t="shared" si="18"/>
        <v>1</v>
      </c>
      <c r="N343" s="5" t="s">
        <v>698</v>
      </c>
      <c r="O343" s="5" t="s">
        <v>500</v>
      </c>
      <c r="P343" s="5" t="s">
        <v>502</v>
      </c>
      <c r="Q343" s="5" t="s">
        <v>504</v>
      </c>
      <c r="R343" s="5"/>
      <c r="S343" s="5"/>
      <c r="T343" s="10">
        <f t="shared" ca="1" si="19"/>
        <v>46059</v>
      </c>
      <c r="U343" s="5"/>
    </row>
    <row r="344" spans="1:21" ht="30" x14ac:dyDescent="0.25">
      <c r="A344" s="5" t="s">
        <v>494</v>
      </c>
      <c r="B344" s="5" t="s">
        <v>481</v>
      </c>
      <c r="C344" s="5" t="s">
        <v>416</v>
      </c>
      <c r="D344" s="5" t="str">
        <f>IF($C344="","",INDEX([4]PLAN_DESARROLLO!$B:$B,MATCH($C344,[4]PLAN_DESARROLLO!$A:$A,0)))</f>
        <v>2024257770035</v>
      </c>
      <c r="E344" s="5" t="str">
        <f>IF($C344="","",INDEX([4]PLAN_DESARROLLO!$C:$C,MATCH($C344,[4]PLAN_DESARROLLO!$A:$A,0)))</f>
        <v>POR EL SUPATÁ SOÑADO AVANZAMOS JUNTOS EN LA LÍNEA ESTRATÉGICA INSTITUCIONAL</v>
      </c>
      <c r="F344" s="5" t="str">
        <f>IF($C344="","",INDEX([4]PLAN_DESARROLLO!$D:$D,MATCH($C344,[4]PLAN_DESARROLLO!$A:$A,0)))</f>
        <v>JUSTICIA Y SEGURIDAD CIUDADANA</v>
      </c>
      <c r="G344" s="5" t="str">
        <f>IF($C344="","",INDEX([4]PLAN_DESARROLLO!$E:$E,MATCH($C344,[4]PLAN_DESARROLLO!$A:$A,0)))</f>
        <v>Realizar 24 Consejos de Seguridad</v>
      </c>
      <c r="H344" s="12">
        <v>48</v>
      </c>
      <c r="I344" s="12">
        <v>12</v>
      </c>
      <c r="J344" s="6">
        <f t="shared" si="17"/>
        <v>0.25</v>
      </c>
      <c r="K344" s="8">
        <v>0</v>
      </c>
      <c r="L344" s="8">
        <v>0</v>
      </c>
      <c r="M344" s="6">
        <f t="shared" si="18"/>
        <v>0</v>
      </c>
      <c r="N344" s="5" t="s">
        <v>699</v>
      </c>
      <c r="O344" s="5"/>
      <c r="P344" s="5" t="s">
        <v>502</v>
      </c>
      <c r="Q344" s="5" t="s">
        <v>504</v>
      </c>
      <c r="R344" s="5"/>
      <c r="S344" s="5"/>
      <c r="T344" s="10">
        <f t="shared" ca="1" si="19"/>
        <v>46059</v>
      </c>
      <c r="U344" s="5"/>
    </row>
    <row r="345" spans="1:21" ht="45" x14ac:dyDescent="0.25">
      <c r="A345" s="5" t="s">
        <v>494</v>
      </c>
      <c r="B345" s="5" t="s">
        <v>481</v>
      </c>
      <c r="C345" s="5" t="s">
        <v>418</v>
      </c>
      <c r="D345" s="5" t="str">
        <f>IF($C345="","",INDEX([4]PLAN_DESARROLLO!$B:$B,MATCH($C345,[4]PLAN_DESARROLLO!$A:$A,0)))</f>
        <v>2024257770036</v>
      </c>
      <c r="E345" s="5" t="str">
        <f>IF($C345="","",INDEX([4]PLAN_DESARROLLO!$C:$C,MATCH($C345,[4]PLAN_DESARROLLO!$A:$A,0)))</f>
        <v>POR EL SUPATÁ SOÑADO AVANZAMOS JUNTOS EN LA LÍNEA ESTRATÉGICA INSTITUCIONAL</v>
      </c>
      <c r="F345" s="5" t="str">
        <f>IF($C345="","",INDEX([4]PLAN_DESARROLLO!$D:$D,MATCH($C345,[4]PLAN_DESARROLLO!$A:$A,0)))</f>
        <v>JUSTICIA Y SEGURIDAD CIUDADANA</v>
      </c>
      <c r="G345" s="5" t="str">
        <f>IF($C345="","",INDEX([4]PLAN_DESARROLLO!$E:$E,MATCH($C345,[4]PLAN_DESARROLLO!$A:$A,0)))</f>
        <v>Realizar cuatro (4) campañas para la prevención en material penal</v>
      </c>
      <c r="H345" s="12">
        <v>4</v>
      </c>
      <c r="I345" s="12">
        <v>1</v>
      </c>
      <c r="J345" s="6">
        <f t="shared" si="17"/>
        <v>0.25</v>
      </c>
      <c r="K345" s="8">
        <v>0</v>
      </c>
      <c r="L345" s="8">
        <v>0</v>
      </c>
      <c r="M345" s="6">
        <f t="shared" si="18"/>
        <v>0</v>
      </c>
      <c r="N345" s="5" t="s">
        <v>700</v>
      </c>
      <c r="O345" s="5"/>
      <c r="P345" s="5" t="s">
        <v>502</v>
      </c>
      <c r="Q345" s="5" t="s">
        <v>504</v>
      </c>
      <c r="R345" s="5"/>
      <c r="S345" s="5"/>
      <c r="T345" s="10">
        <f t="shared" ca="1" si="19"/>
        <v>46059</v>
      </c>
      <c r="U345" s="5"/>
    </row>
    <row r="346" spans="1:21" ht="30" x14ac:dyDescent="0.25">
      <c r="A346" s="5" t="s">
        <v>494</v>
      </c>
      <c r="B346" s="5" t="s">
        <v>481</v>
      </c>
      <c r="C346" s="5" t="s">
        <v>421</v>
      </c>
      <c r="D346" s="5" t="str">
        <f>IF($C346="","",INDEX([4]PLAN_DESARROLLO!$B:$B,MATCH($C346,[4]PLAN_DESARROLLO!$A:$A,0)))</f>
        <v>202500000008965</v>
      </c>
      <c r="E346" s="5" t="str">
        <f>IF($C346="","",INDEX([4]PLAN_DESARROLLO!$C:$C,MATCH($C346,[4]PLAN_DESARROLLO!$A:$A,0)))</f>
        <v>POR EL SUPATÁ SOÑADO AVANZAMOS JUNTOS EN LA LÍNEA ESTRATÉGICA INSTITUCIONAL</v>
      </c>
      <c r="F346" s="5" t="str">
        <f>IF($C346="","",INDEX([4]PLAN_DESARROLLO!$D:$D,MATCH($C346,[4]PLAN_DESARROLLO!$A:$A,0)))</f>
        <v>JUSTICIA Y SEGURIDAD CIUDADANA</v>
      </c>
      <c r="G346" s="5" t="str">
        <f>IF($C346="","",INDEX([4]PLAN_DESARROLLO!$E:$E,MATCH($C346,[4]PLAN_DESARROLLO!$A:$A,0)))</f>
        <v>Garantizar anualmente el suministro de alimentación a las personas privadas de la libertad</v>
      </c>
      <c r="H346" s="12">
        <v>4</v>
      </c>
      <c r="I346" s="12">
        <v>1</v>
      </c>
      <c r="J346" s="6">
        <f t="shared" si="17"/>
        <v>0.25</v>
      </c>
      <c r="K346" s="8">
        <v>1499100</v>
      </c>
      <c r="L346" s="8">
        <v>1499100</v>
      </c>
      <c r="M346" s="6">
        <f t="shared" si="18"/>
        <v>1</v>
      </c>
      <c r="N346" s="5" t="s">
        <v>701</v>
      </c>
      <c r="O346" s="5" t="s">
        <v>500</v>
      </c>
      <c r="P346" s="5" t="s">
        <v>502</v>
      </c>
      <c r="Q346" s="5" t="s">
        <v>504</v>
      </c>
      <c r="R346" s="5"/>
      <c r="S346" s="5"/>
      <c r="T346" s="10">
        <f t="shared" ca="1" si="19"/>
        <v>46059</v>
      </c>
      <c r="U346" s="5"/>
    </row>
    <row r="347" spans="1:21" ht="45" x14ac:dyDescent="0.25">
      <c r="A347" s="5" t="s">
        <v>494</v>
      </c>
      <c r="B347" s="5" t="s">
        <v>481</v>
      </c>
      <c r="C347" s="5" t="s">
        <v>424</v>
      </c>
      <c r="D347" s="5" t="str">
        <f>IF($C347="","",INDEX([4]PLAN_DESARROLLO!$B:$B,MATCH($C347,[4]PLAN_DESARROLLO!$A:$A,0)))</f>
        <v>202500000008965</v>
      </c>
      <c r="E347" s="5" t="str">
        <f>IF($C347="","",INDEX([4]PLAN_DESARROLLO!$C:$C,MATCH($C347,[4]PLAN_DESARROLLO!$A:$A,0)))</f>
        <v>POR EL SUPATÁ SOÑADO AVANZAMOS JUNTOS EN LA LÍNEA ESTRATÉGICA INSTITUCIONAL</v>
      </c>
      <c r="F347" s="5" t="str">
        <f>IF($C347="","",INDEX([4]PLAN_DESARROLLO!$D:$D,MATCH($C347,[4]PLAN_DESARROLLO!$A:$A,0)))</f>
        <v>JUSTICIA Y SEGURIDAD CIUDADANA</v>
      </c>
      <c r="G347" s="5" t="str">
        <f>IF($C347="","",INDEX([4]PLAN_DESARROLLO!$E:$E,MATCH($C347,[4]PLAN_DESARROLLO!$A:$A,0)))</f>
        <v>Fortalecer anualmente el funcionamiento de las fuerzas publicas con los recursos del fonde de seguridad</v>
      </c>
      <c r="H347" s="12">
        <v>4</v>
      </c>
      <c r="I347" s="12">
        <v>1</v>
      </c>
      <c r="J347" s="6">
        <f t="shared" si="17"/>
        <v>0.25</v>
      </c>
      <c r="K347" s="8">
        <v>22375000</v>
      </c>
      <c r="L347" s="8">
        <v>22375000</v>
      </c>
      <c r="M347" s="6">
        <f t="shared" si="18"/>
        <v>1</v>
      </c>
      <c r="N347" s="5" t="s">
        <v>702</v>
      </c>
      <c r="O347" s="5" t="s">
        <v>500</v>
      </c>
      <c r="P347" s="5" t="s">
        <v>502</v>
      </c>
      <c r="Q347" s="5" t="s">
        <v>504</v>
      </c>
      <c r="R347" s="5"/>
      <c r="S347" s="5"/>
      <c r="T347" s="10">
        <f t="shared" ca="1" si="19"/>
        <v>46059</v>
      </c>
      <c r="U347" s="5"/>
    </row>
    <row r="348" spans="1:21" ht="30" x14ac:dyDescent="0.25">
      <c r="A348" s="5" t="s">
        <v>494</v>
      </c>
      <c r="B348" s="5" t="s">
        <v>481</v>
      </c>
      <c r="C348" s="5" t="s">
        <v>426</v>
      </c>
      <c r="D348" s="5" t="str">
        <f>IF($C348="","",INDEX([4]PLAN_DESARROLLO!$B:$B,MATCH($C348,[4]PLAN_DESARROLLO!$A:$A,0)))</f>
        <v>202500000008965</v>
      </c>
      <c r="E348" s="5" t="str">
        <f>IF($C348="","",INDEX([4]PLAN_DESARROLLO!$C:$C,MATCH($C348,[4]PLAN_DESARROLLO!$A:$A,0)))</f>
        <v>POR EL SUPATÁ SOÑADO AVANZAMOS JUNTOS EN LA LÍNEA ESTRATÉGICA INSTITUCIONAL</v>
      </c>
      <c r="F348" s="5" t="str">
        <f>IF($C348="","",INDEX([4]PLAN_DESARROLLO!$D:$D,MATCH($C348,[4]PLAN_DESARROLLO!$A:$A,0)))</f>
        <v>JUSTICIA Y SEGURIDAD CIUDADANA</v>
      </c>
      <c r="G348" s="5" t="str">
        <f>IF($C348="","",INDEX([4]PLAN_DESARROLLO!$E:$E,MATCH($C348,[4]PLAN_DESARROLLO!$A:$A,0)))</f>
        <v>Realizar (1) convenio anual con el Inpec de conformidad con los lineamientos establecidos de la ley 10 millones sgp libre inversion</v>
      </c>
      <c r="H348" s="12">
        <v>4</v>
      </c>
      <c r="I348" s="12">
        <v>1</v>
      </c>
      <c r="J348" s="6">
        <f t="shared" si="17"/>
        <v>0.25</v>
      </c>
      <c r="K348" s="8">
        <v>15000000</v>
      </c>
      <c r="L348" s="8">
        <v>15000000</v>
      </c>
      <c r="M348" s="6">
        <f t="shared" si="18"/>
        <v>1</v>
      </c>
      <c r="N348" s="5" t="s">
        <v>703</v>
      </c>
      <c r="O348" s="5" t="s">
        <v>500</v>
      </c>
      <c r="P348" s="5" t="s">
        <v>502</v>
      </c>
      <c r="Q348" s="5" t="s">
        <v>504</v>
      </c>
      <c r="R348" s="5"/>
      <c r="S348" s="5"/>
      <c r="T348" s="10">
        <f t="shared" ca="1" si="19"/>
        <v>46059</v>
      </c>
      <c r="U348" s="5"/>
    </row>
    <row r="349" spans="1:21" ht="30" x14ac:dyDescent="0.25">
      <c r="A349" s="5" t="s">
        <v>494</v>
      </c>
      <c r="B349" s="5" t="s">
        <v>481</v>
      </c>
      <c r="C349" s="5" t="s">
        <v>122</v>
      </c>
      <c r="D349" s="5" t="str">
        <f>IF($C349="","",INDEX([4]PLAN_DESARROLLO!$B:$B,MATCH($C349,[4]PLAN_DESARROLLO!$A:$A,0)))</f>
        <v>2024257770011</v>
      </c>
      <c r="E349" s="5" t="str">
        <f>IF($C349="","",INDEX([4]PLAN_DESARROLLO!$C:$C,MATCH($C349,[4]PLAN_DESARROLLO!$A:$A,0)))</f>
        <v>POR EL SUPATÁ SOÑADO AVANZAMOS JUNTOS EN LA LÍNEA ESTRATÉGICA SOCIAL</v>
      </c>
      <c r="F349" s="5" t="str">
        <f>IF($C349="","",INDEX([4]PLAN_DESARROLLO!$D:$D,MATCH($C349,[4]PLAN_DESARROLLO!$A:$A,0)))</f>
        <v>POBLACIÓN VULNERABLE - VCA</v>
      </c>
      <c r="G349" s="5" t="str">
        <f>IF($C349="","",INDEX([4]PLAN_DESARROLLO!$E:$E,MATCH($C349,[4]PLAN_DESARROLLO!$A:$A,0)))</f>
        <v xml:space="preserve">Realizar anualmente los tramites pertinentes para ayuda humanitaria </v>
      </c>
      <c r="H349" s="12">
        <v>4</v>
      </c>
      <c r="I349" s="12">
        <v>1</v>
      </c>
      <c r="J349" s="6">
        <f t="shared" si="17"/>
        <v>0.25</v>
      </c>
      <c r="K349" s="8">
        <v>0</v>
      </c>
      <c r="L349" s="8">
        <v>0</v>
      </c>
      <c r="M349" s="6">
        <f t="shared" si="18"/>
        <v>0</v>
      </c>
      <c r="N349" s="5" t="s">
        <v>704</v>
      </c>
      <c r="O349" s="5"/>
      <c r="P349" s="5" t="s">
        <v>502</v>
      </c>
      <c r="Q349" s="5" t="s">
        <v>504</v>
      </c>
      <c r="R349" s="5"/>
      <c r="S349" s="5"/>
      <c r="T349" s="10">
        <f t="shared" ca="1" si="19"/>
        <v>46059</v>
      </c>
      <c r="U349" s="5"/>
    </row>
    <row r="350" spans="1:21" ht="30" x14ac:dyDescent="0.25">
      <c r="A350" s="5" t="s">
        <v>494</v>
      </c>
      <c r="B350" s="5" t="s">
        <v>481</v>
      </c>
      <c r="C350" s="5" t="s">
        <v>126</v>
      </c>
      <c r="D350" s="5" t="str">
        <f>IF($C350="","",INDEX([4]PLAN_DESARROLLO!$B:$B,MATCH($C350,[4]PLAN_DESARROLLO!$A:$A,0)))</f>
        <v>2024257770011</v>
      </c>
      <c r="E350" s="5" t="str">
        <f>IF($C350="","",INDEX([4]PLAN_DESARROLLO!$C:$C,MATCH($C350,[4]PLAN_DESARROLLO!$A:$A,0)))</f>
        <v>POR EL SUPATÁ SOÑADO AVANZAMOS JUNTOS EN LA LÍNEA ESTRATÉGICA SOCIAL</v>
      </c>
      <c r="F350" s="5" t="str">
        <f>IF($C350="","",INDEX([4]PLAN_DESARROLLO!$D:$D,MATCH($C350,[4]PLAN_DESARROLLO!$A:$A,0)))</f>
        <v>POBLACIÓN VULNERABLE - VCA</v>
      </c>
      <c r="G350" s="5" t="str">
        <f>IF($C350="","",INDEX([4]PLAN_DESARROLLO!$E:$E,MATCH($C350,[4]PLAN_DESARROLLO!$A:$A,0)))</f>
        <v xml:space="preserve">Garantizar 4 mesas  tecnicas municipales de participacion de victimas </v>
      </c>
      <c r="H350" s="12">
        <v>4</v>
      </c>
      <c r="I350" s="12">
        <v>1</v>
      </c>
      <c r="J350" s="6">
        <f t="shared" si="17"/>
        <v>0.25</v>
      </c>
      <c r="K350" s="8">
        <v>1820000</v>
      </c>
      <c r="L350" s="8">
        <v>1690000</v>
      </c>
      <c r="M350" s="6">
        <f t="shared" si="18"/>
        <v>0.9285714285714286</v>
      </c>
      <c r="N350" s="5" t="s">
        <v>705</v>
      </c>
      <c r="O350" s="5" t="s">
        <v>496</v>
      </c>
      <c r="P350" s="5" t="s">
        <v>502</v>
      </c>
      <c r="Q350" s="5" t="s">
        <v>504</v>
      </c>
      <c r="R350" s="5"/>
      <c r="S350" s="5"/>
      <c r="T350" s="10">
        <f t="shared" ca="1" si="19"/>
        <v>46059</v>
      </c>
      <c r="U350" s="5"/>
    </row>
    <row r="351" spans="1:21" ht="30" x14ac:dyDescent="0.25">
      <c r="A351" s="5" t="s">
        <v>494</v>
      </c>
      <c r="B351" s="5" t="s">
        <v>481</v>
      </c>
      <c r="C351" s="5" t="s">
        <v>128</v>
      </c>
      <c r="D351" s="5" t="str">
        <f>IF($C351="","",INDEX([4]PLAN_DESARROLLO!$B:$B,MATCH($C351,[4]PLAN_DESARROLLO!$A:$A,0)))</f>
        <v>2024257770011</v>
      </c>
      <c r="E351" s="5" t="str">
        <f>IF($C351="","",INDEX([4]PLAN_DESARROLLO!$C:$C,MATCH($C351,[4]PLAN_DESARROLLO!$A:$A,0)))</f>
        <v>POR EL SUPATÁ SOÑADO AVANZAMOS JUNTOS EN LA LÍNEA ESTRATÉGICA SOCIAL</v>
      </c>
      <c r="F351" s="5" t="str">
        <f>IF($C351="","",INDEX([4]PLAN_DESARROLLO!$D:$D,MATCH($C351,[4]PLAN_DESARROLLO!$A:$A,0)))</f>
        <v>POBLACIÓN VULNERABLE - VCA</v>
      </c>
      <c r="G351" s="5" t="str">
        <f>IF($C351="","",INDEX([4]PLAN_DESARROLLO!$E:$E,MATCH($C351,[4]PLAN_DESARROLLO!$A:$A,0)))</f>
        <v xml:space="preserve">Orotgar 1 Auxilios funerarios a población víctima </v>
      </c>
      <c r="H351" s="12">
        <v>1</v>
      </c>
      <c r="I351" s="12">
        <v>1</v>
      </c>
      <c r="J351" s="6">
        <f t="shared" si="17"/>
        <v>1</v>
      </c>
      <c r="K351" s="8">
        <v>0</v>
      </c>
      <c r="L351" s="8">
        <v>0</v>
      </c>
      <c r="M351" s="6">
        <f t="shared" si="18"/>
        <v>0</v>
      </c>
      <c r="N351" s="5" t="s">
        <v>706</v>
      </c>
      <c r="O351" s="5" t="s">
        <v>500</v>
      </c>
      <c r="P351" s="5" t="s">
        <v>502</v>
      </c>
      <c r="Q351" s="5" t="s">
        <v>504</v>
      </c>
      <c r="R351" s="5"/>
      <c r="S351" s="5"/>
      <c r="T351" s="10">
        <f t="shared" ca="1" si="19"/>
        <v>46059</v>
      </c>
      <c r="U351" s="5"/>
    </row>
    <row r="352" spans="1:21" ht="30" x14ac:dyDescent="0.25">
      <c r="A352" s="5" t="s">
        <v>494</v>
      </c>
      <c r="B352" s="5" t="s">
        <v>481</v>
      </c>
      <c r="C352" s="5" t="s">
        <v>130</v>
      </c>
      <c r="D352" s="5" t="str">
        <f>IF($C352="","",INDEX([4]PLAN_DESARROLLO!$B:$B,MATCH($C352,[4]PLAN_DESARROLLO!$A:$A,0)))</f>
        <v>2024257770011</v>
      </c>
      <c r="E352" s="5" t="str">
        <f>IF($C352="","",INDEX([4]PLAN_DESARROLLO!$C:$C,MATCH($C352,[4]PLAN_DESARROLLO!$A:$A,0)))</f>
        <v>POR EL SUPATÁ SOÑADO AVANZAMOS JUNTOS EN LA LÍNEA ESTRATÉGICA SOCIAL</v>
      </c>
      <c r="F352" s="5" t="str">
        <f>IF($C352="","",INDEX([4]PLAN_DESARROLLO!$D:$D,MATCH($C352,[4]PLAN_DESARROLLO!$A:$A,0)))</f>
        <v>POBLACIÓN VULNERABLE - VCA</v>
      </c>
      <c r="G352" s="5" t="str">
        <f>IF($C352="","",INDEX([4]PLAN_DESARROLLO!$E:$E,MATCH($C352,[4]PLAN_DESARROLLO!$A:$A,0)))</f>
        <v>Elaborar la politica publica de victimas local ($0)</v>
      </c>
      <c r="H352" s="12">
        <v>1</v>
      </c>
      <c r="I352" s="12">
        <v>0</v>
      </c>
      <c r="J352" s="6">
        <f t="shared" si="17"/>
        <v>0</v>
      </c>
      <c r="K352" s="8">
        <v>0</v>
      </c>
      <c r="L352" s="8">
        <v>0</v>
      </c>
      <c r="M352" s="6">
        <f t="shared" si="18"/>
        <v>0</v>
      </c>
      <c r="N352" s="5" t="s">
        <v>707</v>
      </c>
      <c r="O352" s="5"/>
      <c r="P352" s="5" t="s">
        <v>499</v>
      </c>
      <c r="Q352" s="5" t="s">
        <v>504</v>
      </c>
      <c r="R352" s="5"/>
      <c r="S352" s="5"/>
      <c r="T352" s="10">
        <f t="shared" ca="1" si="19"/>
        <v>46059</v>
      </c>
      <c r="U352" s="5"/>
    </row>
    <row r="353" spans="1:21" ht="30" x14ac:dyDescent="0.25">
      <c r="A353" s="5" t="s">
        <v>494</v>
      </c>
      <c r="B353" s="5" t="s">
        <v>481</v>
      </c>
      <c r="C353" s="5" t="s">
        <v>132</v>
      </c>
      <c r="D353" s="5" t="str">
        <f>IF($C353="","",INDEX([4]PLAN_DESARROLLO!$B:$B,MATCH($C353,[4]PLAN_DESARROLLO!$A:$A,0)))</f>
        <v>2024257770011</v>
      </c>
      <c r="E353" s="5" t="str">
        <f>IF($C353="","",INDEX([4]PLAN_DESARROLLO!$C:$C,MATCH($C353,[4]PLAN_DESARROLLO!$A:$A,0)))</f>
        <v>POR EL SUPATÁ SOÑADO AVANZAMOS JUNTOS EN LA LÍNEA ESTRATÉGICA SOCIAL</v>
      </c>
      <c r="F353" s="5" t="str">
        <f>IF($C353="","",INDEX([4]PLAN_DESARROLLO!$D:$D,MATCH($C353,[4]PLAN_DESARROLLO!$A:$A,0)))</f>
        <v>POBLACIÓN VULNERABLE - VCA</v>
      </c>
      <c r="G353" s="5" t="str">
        <f>IF($C353="","",INDEX([4]PLAN_DESARROLLO!$E:$E,MATCH($C353,[4]PLAN_DESARROLLO!$A:$A,0)))</f>
        <v xml:space="preserve">Realizar 4 proyectos productivos para la generación de ingresos victima del conflicto armado </v>
      </c>
      <c r="H353" s="12">
        <v>4</v>
      </c>
      <c r="I353" s="12">
        <v>1</v>
      </c>
      <c r="J353" s="6">
        <f t="shared" si="17"/>
        <v>0.25</v>
      </c>
      <c r="K353" s="8">
        <v>9121500</v>
      </c>
      <c r="L353" s="8">
        <v>9121500</v>
      </c>
      <c r="M353" s="6">
        <f t="shared" si="18"/>
        <v>1</v>
      </c>
      <c r="N353" s="5" t="s">
        <v>708</v>
      </c>
      <c r="O353" s="5" t="s">
        <v>496</v>
      </c>
      <c r="P353" s="5" t="s">
        <v>502</v>
      </c>
      <c r="Q353" s="5" t="s">
        <v>504</v>
      </c>
      <c r="R353" s="5"/>
      <c r="S353" s="5"/>
      <c r="T353" s="10">
        <f t="shared" ca="1" si="19"/>
        <v>46059</v>
      </c>
      <c r="U353" s="5"/>
    </row>
    <row r="354" spans="1:21" ht="30" x14ac:dyDescent="0.25">
      <c r="A354" s="5" t="s">
        <v>494</v>
      </c>
      <c r="B354" s="5" t="s">
        <v>481</v>
      </c>
      <c r="C354" s="5" t="s">
        <v>134</v>
      </c>
      <c r="D354" s="5" t="str">
        <f>IF($C354="","",INDEX([4]PLAN_DESARROLLO!$B:$B,MATCH($C354,[4]PLAN_DESARROLLO!$A:$A,0)))</f>
        <v>2024257770011</v>
      </c>
      <c r="E354" s="5" t="str">
        <f>IF($C354="","",INDEX([4]PLAN_DESARROLLO!$C:$C,MATCH($C354,[4]PLAN_DESARROLLO!$A:$A,0)))</f>
        <v>POR EL SUPATÁ SOÑADO AVANZAMOS JUNTOS EN LA LÍNEA ESTRATÉGICA SOCIAL</v>
      </c>
      <c r="F354" s="5" t="str">
        <f>IF($C354="","",INDEX([4]PLAN_DESARROLLO!$D:$D,MATCH($C354,[4]PLAN_DESARROLLO!$A:$A,0)))</f>
        <v>POBLACIÓN VULNERABLE - VCA</v>
      </c>
      <c r="G354" s="5" t="str">
        <f>IF($C354="","",INDEX([4]PLAN_DESARROLLO!$E:$E,MATCH($C354,[4]PLAN_DESARROLLO!$A:$A,0)))</f>
        <v>Realizar 2 jornadas de caracterizacion municipal de victimas $0</v>
      </c>
      <c r="H354" s="12">
        <v>2</v>
      </c>
      <c r="I354" s="12">
        <v>0</v>
      </c>
      <c r="J354" s="6">
        <f t="shared" si="17"/>
        <v>0</v>
      </c>
      <c r="K354" s="8">
        <v>0</v>
      </c>
      <c r="L354" s="8">
        <v>0</v>
      </c>
      <c r="M354" s="6">
        <f t="shared" si="18"/>
        <v>0</v>
      </c>
      <c r="N354" s="5" t="s">
        <v>694</v>
      </c>
      <c r="O354" s="5"/>
      <c r="P354" s="5" t="s">
        <v>495</v>
      </c>
      <c r="Q354" s="5" t="s">
        <v>508</v>
      </c>
      <c r="R354" s="5"/>
      <c r="S354" s="5"/>
      <c r="T354" s="10">
        <f t="shared" ca="1" si="19"/>
        <v>46059</v>
      </c>
      <c r="U354" s="5"/>
    </row>
    <row r="355" spans="1:21" ht="30" x14ac:dyDescent="0.25">
      <c r="A355" s="5" t="s">
        <v>494</v>
      </c>
      <c r="B355" s="5" t="s">
        <v>481</v>
      </c>
      <c r="C355" s="5" t="s">
        <v>136</v>
      </c>
      <c r="D355" s="5" t="str">
        <f>IF($C355="","",INDEX([4]PLAN_DESARROLLO!$B:$B,MATCH($C355,[4]PLAN_DESARROLLO!$A:$A,0)))</f>
        <v>2024257770011</v>
      </c>
      <c r="E355" s="5" t="str">
        <f>IF($C355="","",INDEX([4]PLAN_DESARROLLO!$C:$C,MATCH($C355,[4]PLAN_DESARROLLO!$A:$A,0)))</f>
        <v>POR EL SUPATÁ SOÑADO AVANZAMOS JUNTOS EN LA LÍNEA ESTRATÉGICA SOCIAL</v>
      </c>
      <c r="F355" s="5" t="str">
        <f>IF($C355="","",INDEX([4]PLAN_DESARROLLO!$D:$D,MATCH($C355,[4]PLAN_DESARROLLO!$A:$A,0)))</f>
        <v>POBLACIÓN VULNERABLE - VCA</v>
      </c>
      <c r="G355" s="5" t="str">
        <f>IF($C355="","",INDEX([4]PLAN_DESARROLLO!$E:$E,MATCH($C355,[4]PLAN_DESARROLLO!$A:$A,0)))</f>
        <v xml:space="preserve">Conmemoracion del dia nacional de la memoria y la solidaridad con las victimas </v>
      </c>
      <c r="H355" s="12">
        <v>4</v>
      </c>
      <c r="I355" s="12">
        <v>1</v>
      </c>
      <c r="J355" s="6">
        <f t="shared" si="17"/>
        <v>0.25</v>
      </c>
      <c r="K355" s="8">
        <v>0</v>
      </c>
      <c r="L355" s="8">
        <v>0</v>
      </c>
      <c r="M355" s="6">
        <f t="shared" si="18"/>
        <v>0</v>
      </c>
      <c r="N355" s="5" t="s">
        <v>709</v>
      </c>
      <c r="O355" s="5"/>
      <c r="P355" s="5" t="s">
        <v>502</v>
      </c>
      <c r="Q355" s="5" t="s">
        <v>504</v>
      </c>
      <c r="R355" s="5"/>
      <c r="S355" s="5"/>
      <c r="T355" s="10">
        <f t="shared" ca="1" si="19"/>
        <v>46059</v>
      </c>
      <c r="U355" s="5"/>
    </row>
    <row r="356" spans="1:21" ht="30" x14ac:dyDescent="0.25">
      <c r="A356" s="5" t="s">
        <v>494</v>
      </c>
      <c r="B356" s="5" t="s">
        <v>481</v>
      </c>
      <c r="C356" s="5" t="s">
        <v>414</v>
      </c>
      <c r="D356" s="5" t="str">
        <f>IF($C356="","",INDEX([4]PLAN_DESARROLLO!$B:$B,MATCH($C356,[4]PLAN_DESARROLLO!$A:$A,0)))</f>
        <v>2024257770035</v>
      </c>
      <c r="E356" s="5" t="str">
        <f>IF($C356="","",INDEX([4]PLAN_DESARROLLO!$C:$C,MATCH($C356,[4]PLAN_DESARROLLO!$A:$A,0)))</f>
        <v>POR EL SUPATÁ SOÑADO AVANZAMOS JUNTOS EN LA LÍNEA ESTRATÉGICA INSTITUCIONAL</v>
      </c>
      <c r="F356" s="5" t="str">
        <f>IF($C356="","",INDEX([4]PLAN_DESARROLLO!$D:$D,MATCH($C356,[4]PLAN_DESARROLLO!$A:$A,0)))</f>
        <v>JUSTICIA Y SEGURIDAD CIUDADANA</v>
      </c>
      <c r="G356" s="5" t="str">
        <f>IF($C356="","",INDEX([4]PLAN_DESARROLLO!$E:$E,MATCH($C356,[4]PLAN_DESARROLLO!$A:$A,0)))</f>
        <v xml:space="preserve">Realizar (1) acción para la implementación de herramientas tecnologicas de seguridad  CAMARAS DE VIGILANCIA </v>
      </c>
      <c r="H356" s="12">
        <v>1</v>
      </c>
      <c r="I356" s="12">
        <v>0</v>
      </c>
      <c r="J356" s="6">
        <f t="shared" si="17"/>
        <v>0</v>
      </c>
      <c r="K356" s="8">
        <v>0</v>
      </c>
      <c r="L356" s="8">
        <v>0</v>
      </c>
      <c r="M356" s="6">
        <f t="shared" si="18"/>
        <v>0</v>
      </c>
      <c r="N356" s="5" t="s">
        <v>694</v>
      </c>
      <c r="O356" s="5"/>
      <c r="P356" s="5" t="s">
        <v>495</v>
      </c>
      <c r="Q356" s="5" t="s">
        <v>504</v>
      </c>
      <c r="R356" s="5"/>
      <c r="S356" s="5"/>
      <c r="T356" s="10">
        <f t="shared" ca="1" si="19"/>
        <v>46059</v>
      </c>
      <c r="U356" s="5"/>
    </row>
    <row r="357" spans="1:21" ht="30" x14ac:dyDescent="0.25">
      <c r="A357" s="5" t="s">
        <v>494</v>
      </c>
      <c r="B357" s="5" t="s">
        <v>481</v>
      </c>
      <c r="C357" s="5" t="s">
        <v>247</v>
      </c>
      <c r="D357" s="5" t="str">
        <f>IF($C357="","",INDEX([4]PLAN_DESARROLLO!$B:$B,MATCH($C357,[4]PLAN_DESARROLLO!$A:$A,0)))</f>
        <v>202500000008261</v>
      </c>
      <c r="E357" s="5" t="str">
        <f>IF($C357="","",INDEX([4]PLAN_DESARROLLO!$C:$C,MATCH($C357,[4]PLAN_DESARROLLO!$A:$A,0)))</f>
        <v>POR EL SUPATÁ SOÑADO AVANZAMOS JUNTOS EN LA LÍNEA ESTRATÉGICA ECONÓMICA</v>
      </c>
      <c r="F357" s="5" t="str">
        <f>IF($C357="","",INDEX([4]PLAN_DESARROLLO!$D:$D,MATCH($C357,[4]PLAN_DESARROLLO!$A:$A,0)))</f>
        <v>TECNOLOGIAS DE LA INFORMACIÓN Y LAS COMUNICACIONES</v>
      </c>
      <c r="G357" s="5" t="str">
        <f>IF($C357="","",INDEX([4]PLAN_DESARROLLO!$E:$E,MATCH($C357,[4]PLAN_DESARROLLO!$A:$A,0)))</f>
        <v>Mantener anualmente una persona calificada para Implementar la estrategia de Gobierno Digital</v>
      </c>
      <c r="H357" s="12">
        <v>4</v>
      </c>
      <c r="I357" s="12">
        <v>1</v>
      </c>
      <c r="J357" s="6">
        <f t="shared" si="17"/>
        <v>0.25</v>
      </c>
      <c r="K357" s="8">
        <v>20800000</v>
      </c>
      <c r="L357" s="8">
        <v>20800000</v>
      </c>
      <c r="M357" s="6">
        <f t="shared" si="18"/>
        <v>1</v>
      </c>
      <c r="N357" s="5" t="s">
        <v>710</v>
      </c>
      <c r="O357" s="5" t="s">
        <v>496</v>
      </c>
      <c r="P357" s="5" t="s">
        <v>502</v>
      </c>
      <c r="Q357" s="5" t="s">
        <v>504</v>
      </c>
      <c r="R357" s="5"/>
      <c r="S357" s="5"/>
      <c r="T357" s="10">
        <f t="shared" ca="1" si="19"/>
        <v>46059</v>
      </c>
      <c r="U357" s="5"/>
    </row>
    <row r="358" spans="1:21" ht="30" x14ac:dyDescent="0.25">
      <c r="A358" s="5" t="s">
        <v>494</v>
      </c>
      <c r="B358" s="5" t="s">
        <v>481</v>
      </c>
      <c r="C358" s="5" t="s">
        <v>252</v>
      </c>
      <c r="D358" s="5" t="str">
        <f>IF($C358="","",INDEX([4]PLAN_DESARROLLO!$B:$B,MATCH($C358,[4]PLAN_DESARROLLO!$A:$A,0)))</f>
        <v>202500000008261</v>
      </c>
      <c r="E358" s="5" t="str">
        <f>IF($C358="","",INDEX([4]PLAN_DESARROLLO!$C:$C,MATCH($C358,[4]PLAN_DESARROLLO!$A:$A,0)))</f>
        <v>POR EL SUPATÁ SOÑADO AVANZAMOS JUNTOS EN LA LÍNEA ESTRATÉGICA ECONÓMICA</v>
      </c>
      <c r="F358" s="5" t="str">
        <f>IF($C358="","",INDEX([4]PLAN_DESARROLLO!$D:$D,MATCH($C358,[4]PLAN_DESARROLLO!$A:$A,0)))</f>
        <v>TECNOLOGIAS DE LA INFORMACIÓN Y LAS COMUNICACIONES</v>
      </c>
      <c r="G358" s="5" t="str">
        <f>IF($C358="","",INDEX([4]PLAN_DESARROLLO!$E:$E,MATCH($C358,[4]PLAN_DESARROLLO!$A:$A,0)))</f>
        <v xml:space="preserve">Realizar 2 dotaciones de software, dotación tecnológica, sonido para eventos   y equipos de altavoz </v>
      </c>
      <c r="H358" s="12">
        <v>2</v>
      </c>
      <c r="I358" s="12">
        <v>0</v>
      </c>
      <c r="J358" s="6">
        <f t="shared" si="17"/>
        <v>0</v>
      </c>
      <c r="K358" s="8">
        <v>0</v>
      </c>
      <c r="L358" s="8">
        <v>0</v>
      </c>
      <c r="M358" s="6">
        <f t="shared" si="18"/>
        <v>0</v>
      </c>
      <c r="N358" s="5" t="s">
        <v>694</v>
      </c>
      <c r="O358" s="5"/>
      <c r="P358" s="5" t="s">
        <v>495</v>
      </c>
      <c r="Q358" s="5" t="s">
        <v>504</v>
      </c>
      <c r="R358" s="5"/>
      <c r="S358" s="5"/>
      <c r="T358" s="10">
        <f t="shared" ca="1" si="19"/>
        <v>46059</v>
      </c>
      <c r="U358" s="5"/>
    </row>
    <row r="359" spans="1:21" ht="45" x14ac:dyDescent="0.25">
      <c r="A359" s="5" t="s">
        <v>494</v>
      </c>
      <c r="B359" s="5" t="s">
        <v>481</v>
      </c>
      <c r="C359" s="5" t="s">
        <v>254</v>
      </c>
      <c r="D359" s="5" t="str">
        <f>IF($C359="","",INDEX([4]PLAN_DESARROLLO!$B:$B,MATCH($C359,[4]PLAN_DESARROLLO!$A:$A,0)))</f>
        <v>202500000008261</v>
      </c>
      <c r="E359" s="5" t="str">
        <f>IF($C359="","",INDEX([4]PLAN_DESARROLLO!$C:$C,MATCH($C359,[4]PLAN_DESARROLLO!$A:$A,0)))</f>
        <v>POR EL SUPATÁ SOÑADO AVANZAMOS JUNTOS EN LA LÍNEA ESTRATÉGICA ECONÓMICA</v>
      </c>
      <c r="F359" s="5" t="str">
        <f>IF($C359="","",INDEX([4]PLAN_DESARROLLO!$D:$D,MATCH($C359,[4]PLAN_DESARROLLO!$A:$A,0)))</f>
        <v>TECNOLOGIAS DE LA INFORMACIÓN Y LAS COMUNICACIONES</v>
      </c>
      <c r="G359" s="5" t="str">
        <f>IF($C359="","",INDEX([4]PLAN_DESARROLLO!$E:$E,MATCH($C359,[4]PLAN_DESARROLLO!$A:$A,0)))</f>
        <v>Realizar anualmente 4 actualizaciones a la página web del municipio con el objetivo de cumplir anualmente con el informe ITA de la Procuraduría General de la Nación</v>
      </c>
      <c r="H359" s="12">
        <v>4</v>
      </c>
      <c r="I359" s="12">
        <v>0</v>
      </c>
      <c r="J359" s="6">
        <f t="shared" si="17"/>
        <v>0</v>
      </c>
      <c r="K359" s="8">
        <v>0</v>
      </c>
      <c r="L359" s="8">
        <v>0</v>
      </c>
      <c r="M359" s="6">
        <f t="shared" si="18"/>
        <v>0</v>
      </c>
      <c r="N359" s="5" t="s">
        <v>692</v>
      </c>
      <c r="O359" s="5"/>
      <c r="P359" s="5" t="s">
        <v>495</v>
      </c>
      <c r="Q359" s="5" t="s">
        <v>504</v>
      </c>
      <c r="R359" s="5"/>
      <c r="S359" s="5"/>
      <c r="T359" s="10">
        <f t="shared" ca="1" si="19"/>
        <v>46059</v>
      </c>
      <c r="U359" s="5"/>
    </row>
    <row r="360" spans="1:21" ht="30" x14ac:dyDescent="0.25">
      <c r="A360" s="5" t="s">
        <v>494</v>
      </c>
      <c r="B360" s="5" t="s">
        <v>481</v>
      </c>
      <c r="C360" s="5" t="s">
        <v>256</v>
      </c>
      <c r="D360" s="5" t="str">
        <f>IF($C360="","",INDEX([4]PLAN_DESARROLLO!$B:$B,MATCH($C360,[4]PLAN_DESARROLLO!$A:$A,0)))</f>
        <v>202500000008863</v>
      </c>
      <c r="E360" s="5" t="str">
        <f>IF($C360="","",INDEX([4]PLAN_DESARROLLO!$C:$C,MATCH($C360,[4]PLAN_DESARROLLO!$A:$A,0)))</f>
        <v>POR EL SUPATÁ SOÑADO AVANZAMOS JUNTOS EN LA LÍNEA ESTRATÉGICA ECONÓMICA</v>
      </c>
      <c r="F360" s="5" t="str">
        <f>IF($C360="","",INDEX([4]PLAN_DESARROLLO!$D:$D,MATCH($C360,[4]PLAN_DESARROLLO!$A:$A,0)))</f>
        <v>TECNOLOGIAS DE LA INFORMACIÓN Y LAS COMUNICACIONES</v>
      </c>
      <c r="G360" s="5" t="str">
        <f>IF($C360="","",INDEX([4]PLAN_DESARROLLO!$E:$E,MATCH($C360,[4]PLAN_DESARROLLO!$A:$A,0)))</f>
        <v>Realizar anualmente la Implementación de trámites y servicios en línea</v>
      </c>
      <c r="H360" s="12">
        <v>4</v>
      </c>
      <c r="I360" s="12">
        <v>0</v>
      </c>
      <c r="J360" s="6">
        <f t="shared" si="17"/>
        <v>0</v>
      </c>
      <c r="K360" s="8">
        <v>0</v>
      </c>
      <c r="L360" s="8">
        <v>0</v>
      </c>
      <c r="M360" s="6">
        <f t="shared" si="18"/>
        <v>0</v>
      </c>
      <c r="N360" s="5" t="s">
        <v>692</v>
      </c>
      <c r="O360" s="5"/>
      <c r="P360" s="5" t="s">
        <v>495</v>
      </c>
      <c r="Q360" s="5" t="s">
        <v>504</v>
      </c>
      <c r="R360" s="5"/>
      <c r="S360" s="5"/>
      <c r="T360" s="10">
        <f t="shared" ca="1" si="19"/>
        <v>46059</v>
      </c>
      <c r="U360" s="5"/>
    </row>
    <row r="361" spans="1:21" ht="30" x14ac:dyDescent="0.25">
      <c r="A361" s="5" t="s">
        <v>494</v>
      </c>
      <c r="B361" s="5" t="s">
        <v>481</v>
      </c>
      <c r="C361" s="5" t="s">
        <v>259</v>
      </c>
      <c r="D361" s="5" t="str">
        <f>IF($C361="","",INDEX([4]PLAN_DESARROLLO!$B:$B,MATCH($C361,[4]PLAN_DESARROLLO!$A:$A,0)))</f>
        <v>202500000008863</v>
      </c>
      <c r="E361" s="5" t="str">
        <f>IF($C361="","",INDEX([4]PLAN_DESARROLLO!$C:$C,MATCH($C361,[4]PLAN_DESARROLLO!$A:$A,0)))</f>
        <v>POR EL SUPATÁ SOÑADO AVANZAMOS JUNTOS EN LA LÍNEA ESTRATÉGICA ECONÓMICA</v>
      </c>
      <c r="F361" s="5" t="str">
        <f>IF($C361="","",INDEX([4]PLAN_DESARROLLO!$D:$D,MATCH($C361,[4]PLAN_DESARROLLO!$A:$A,0)))</f>
        <v>TECNOLOGIAS DE LA INFORMACIÓN Y LAS COMUNICACIONES</v>
      </c>
      <c r="G361" s="5" t="str">
        <f>IF($C361="","",INDEX([4]PLAN_DESARROLLO!$E:$E,MATCH($C361,[4]PLAN_DESARROLLO!$A:$A,0)))</f>
        <v>Realizar 4 capacitaciones sobre la importancia de Gobierno Digital y  de las TICS</v>
      </c>
      <c r="H361" s="12">
        <v>4</v>
      </c>
      <c r="I361" s="12">
        <v>1</v>
      </c>
      <c r="J361" s="6">
        <f t="shared" si="17"/>
        <v>0.25</v>
      </c>
      <c r="K361" s="8">
        <v>0</v>
      </c>
      <c r="L361" s="8">
        <v>0</v>
      </c>
      <c r="M361" s="6">
        <f t="shared" si="18"/>
        <v>0</v>
      </c>
      <c r="N361" s="5" t="s">
        <v>711</v>
      </c>
      <c r="O361" s="5"/>
      <c r="P361" s="5" t="s">
        <v>502</v>
      </c>
      <c r="Q361" s="5" t="s">
        <v>504</v>
      </c>
      <c r="R361" s="5"/>
      <c r="S361" s="5"/>
      <c r="T361" s="10">
        <f t="shared" ca="1" si="19"/>
        <v>46059</v>
      </c>
      <c r="U361" s="5"/>
    </row>
    <row r="362" spans="1:21" ht="30" x14ac:dyDescent="0.25">
      <c r="A362" s="5" t="s">
        <v>498</v>
      </c>
      <c r="B362" s="5" t="s">
        <v>481</v>
      </c>
      <c r="C362" s="5" t="s">
        <v>122</v>
      </c>
      <c r="D362" s="5" t="str">
        <f>IF($C362="","",INDEX([4]PLAN_DESARROLLO!$B:$B,MATCH($C362,[4]PLAN_DESARROLLO!$A:$A,0)))</f>
        <v>2024257770011</v>
      </c>
      <c r="E362" s="5" t="str">
        <f>IF($C362="","",INDEX([4]PLAN_DESARROLLO!$C:$C,MATCH($C362,[4]PLAN_DESARROLLO!$A:$A,0)))</f>
        <v>POR EL SUPATÁ SOÑADO AVANZAMOS JUNTOS EN LA LÍNEA ESTRATÉGICA SOCIAL</v>
      </c>
      <c r="F362" s="5" t="str">
        <f>IF($C362="","",INDEX([4]PLAN_DESARROLLO!$D:$D,MATCH($C362,[4]PLAN_DESARROLLO!$A:$A,0)))</f>
        <v>POBLACIÓN VULNERABLE - VCA</v>
      </c>
      <c r="G362" s="5" t="str">
        <f>IF($C362="","",INDEX([4]PLAN_DESARROLLO!$E:$E,MATCH($C362,[4]PLAN_DESARROLLO!$A:$A,0)))</f>
        <v xml:space="preserve">Realizar anualmente los tramites pertinentes para ayuda humanitaria </v>
      </c>
      <c r="H362" s="12">
        <v>4</v>
      </c>
      <c r="I362" s="12">
        <v>1</v>
      </c>
      <c r="J362" s="6">
        <f t="shared" si="17"/>
        <v>0.25</v>
      </c>
      <c r="K362" s="8">
        <v>0</v>
      </c>
      <c r="L362" s="8">
        <v>0</v>
      </c>
      <c r="M362" s="6">
        <f t="shared" si="18"/>
        <v>0</v>
      </c>
      <c r="N362" s="5" t="s">
        <v>712</v>
      </c>
      <c r="O362" s="5"/>
      <c r="P362" s="5" t="s">
        <v>502</v>
      </c>
      <c r="Q362" s="5" t="s">
        <v>504</v>
      </c>
      <c r="R362" s="5"/>
      <c r="S362" s="5"/>
      <c r="T362" s="10">
        <f t="shared" ca="1" si="19"/>
        <v>46059</v>
      </c>
      <c r="U362" s="5"/>
    </row>
    <row r="363" spans="1:21" ht="30" x14ac:dyDescent="0.25">
      <c r="A363" s="5" t="s">
        <v>498</v>
      </c>
      <c r="B363" s="5" t="s">
        <v>481</v>
      </c>
      <c r="C363" s="5" t="s">
        <v>126</v>
      </c>
      <c r="D363" s="5" t="str">
        <f>IF($C363="","",INDEX([4]PLAN_DESARROLLO!$B:$B,MATCH($C363,[4]PLAN_DESARROLLO!$A:$A,0)))</f>
        <v>2024257770011</v>
      </c>
      <c r="E363" s="5" t="str">
        <f>IF($C363="","",INDEX([4]PLAN_DESARROLLO!$C:$C,MATCH($C363,[4]PLAN_DESARROLLO!$A:$A,0)))</f>
        <v>POR EL SUPATÁ SOÑADO AVANZAMOS JUNTOS EN LA LÍNEA ESTRATÉGICA SOCIAL</v>
      </c>
      <c r="F363" s="5" t="str">
        <f>IF($C363="","",INDEX([4]PLAN_DESARROLLO!$D:$D,MATCH($C363,[4]PLAN_DESARROLLO!$A:$A,0)))</f>
        <v>POBLACIÓN VULNERABLE - VCA</v>
      </c>
      <c r="G363" s="5" t="str">
        <f>IF($C363="","",INDEX([4]PLAN_DESARROLLO!$E:$E,MATCH($C363,[4]PLAN_DESARROLLO!$A:$A,0)))</f>
        <v xml:space="preserve">Garantizar 4 mesas  tecnicas municipales de participacion de victimas </v>
      </c>
      <c r="H363" s="12">
        <v>4</v>
      </c>
      <c r="I363" s="12">
        <v>1</v>
      </c>
      <c r="J363" s="6">
        <f t="shared" si="17"/>
        <v>0.25</v>
      </c>
      <c r="K363" s="8">
        <v>4500000</v>
      </c>
      <c r="L363" s="8">
        <v>1850000</v>
      </c>
      <c r="M363" s="6">
        <f t="shared" si="18"/>
        <v>0.41111111111111109</v>
      </c>
      <c r="N363" s="5" t="s">
        <v>705</v>
      </c>
      <c r="O363" s="5" t="s">
        <v>496</v>
      </c>
      <c r="P363" s="5" t="s">
        <v>502</v>
      </c>
      <c r="Q363" s="5" t="s">
        <v>504</v>
      </c>
      <c r="R363" s="5"/>
      <c r="S363" s="5"/>
      <c r="T363" s="10">
        <f t="shared" ca="1" si="19"/>
        <v>46059</v>
      </c>
      <c r="U363" s="5"/>
    </row>
    <row r="364" spans="1:21" ht="30" x14ac:dyDescent="0.25">
      <c r="A364" s="5" t="s">
        <v>498</v>
      </c>
      <c r="B364" s="5" t="s">
        <v>481</v>
      </c>
      <c r="C364" s="5" t="s">
        <v>128</v>
      </c>
      <c r="D364" s="5" t="str">
        <f>IF($C364="","",INDEX([4]PLAN_DESARROLLO!$B:$B,MATCH($C364,[4]PLAN_DESARROLLO!$A:$A,0)))</f>
        <v>2024257770011</v>
      </c>
      <c r="E364" s="5" t="str">
        <f>IF($C364="","",INDEX([4]PLAN_DESARROLLO!$C:$C,MATCH($C364,[4]PLAN_DESARROLLO!$A:$A,0)))</f>
        <v>POR EL SUPATÁ SOÑADO AVANZAMOS JUNTOS EN LA LÍNEA ESTRATÉGICA SOCIAL</v>
      </c>
      <c r="F364" s="5" t="str">
        <f>IF($C364="","",INDEX([4]PLAN_DESARROLLO!$D:$D,MATCH($C364,[4]PLAN_DESARROLLO!$A:$A,0)))</f>
        <v>POBLACIÓN VULNERABLE - VCA</v>
      </c>
      <c r="G364" s="5" t="str">
        <f>IF($C364="","",INDEX([4]PLAN_DESARROLLO!$E:$E,MATCH($C364,[4]PLAN_DESARROLLO!$A:$A,0)))</f>
        <v xml:space="preserve">Orotgar 1 Auxilios funerarios a población víctima </v>
      </c>
      <c r="H364" s="12">
        <v>4</v>
      </c>
      <c r="I364" s="12">
        <v>1</v>
      </c>
      <c r="J364" s="6">
        <f t="shared" si="17"/>
        <v>0.25</v>
      </c>
      <c r="K364" s="8">
        <v>500000</v>
      </c>
      <c r="L364" s="8">
        <v>500000</v>
      </c>
      <c r="M364" s="6">
        <f t="shared" si="18"/>
        <v>1</v>
      </c>
      <c r="N364" s="5" t="s">
        <v>713</v>
      </c>
      <c r="O364" s="5" t="s">
        <v>496</v>
      </c>
      <c r="P364" s="5" t="s">
        <v>502</v>
      </c>
      <c r="Q364" s="5" t="s">
        <v>504</v>
      </c>
      <c r="R364" s="5"/>
      <c r="S364" s="5"/>
      <c r="T364" s="10">
        <f t="shared" ca="1" si="19"/>
        <v>46059</v>
      </c>
      <c r="U364" s="5"/>
    </row>
    <row r="365" spans="1:21" ht="30" x14ac:dyDescent="0.25">
      <c r="A365" s="5" t="s">
        <v>498</v>
      </c>
      <c r="B365" s="5" t="s">
        <v>481</v>
      </c>
      <c r="C365" s="5" t="s">
        <v>130</v>
      </c>
      <c r="D365" s="5" t="str">
        <f>IF($C365="","",INDEX([4]PLAN_DESARROLLO!$B:$B,MATCH($C365,[4]PLAN_DESARROLLO!$A:$A,0)))</f>
        <v>2024257770011</v>
      </c>
      <c r="E365" s="5" t="str">
        <f>IF($C365="","",INDEX([4]PLAN_DESARROLLO!$C:$C,MATCH($C365,[4]PLAN_DESARROLLO!$A:$A,0)))</f>
        <v>POR EL SUPATÁ SOÑADO AVANZAMOS JUNTOS EN LA LÍNEA ESTRATÉGICA SOCIAL</v>
      </c>
      <c r="F365" s="5" t="str">
        <f>IF($C365="","",INDEX([4]PLAN_DESARROLLO!$D:$D,MATCH($C365,[4]PLAN_DESARROLLO!$A:$A,0)))</f>
        <v>POBLACIÓN VULNERABLE - VCA</v>
      </c>
      <c r="G365" s="5" t="str">
        <f>IF($C365="","",INDEX([4]PLAN_DESARROLLO!$E:$E,MATCH($C365,[4]PLAN_DESARROLLO!$A:$A,0)))</f>
        <v>Elaborar la politica publica de victimas local ($0)</v>
      </c>
      <c r="H365" s="12">
        <v>1</v>
      </c>
      <c r="I365" s="12">
        <v>0</v>
      </c>
      <c r="J365" s="6">
        <f t="shared" si="17"/>
        <v>0</v>
      </c>
      <c r="K365" s="8">
        <v>0</v>
      </c>
      <c r="L365" s="8">
        <v>0</v>
      </c>
      <c r="M365" s="6">
        <f t="shared" si="18"/>
        <v>0</v>
      </c>
      <c r="N365" s="5" t="s">
        <v>692</v>
      </c>
      <c r="O365" s="5"/>
      <c r="P365" s="5" t="s">
        <v>495</v>
      </c>
      <c r="Q365" s="5" t="s">
        <v>504</v>
      </c>
      <c r="R365" s="5"/>
      <c r="S365" s="5"/>
      <c r="T365" s="10">
        <f t="shared" ca="1" si="19"/>
        <v>46059</v>
      </c>
      <c r="U365" s="5"/>
    </row>
    <row r="366" spans="1:21" ht="30" x14ac:dyDescent="0.25">
      <c r="A366" s="5" t="s">
        <v>498</v>
      </c>
      <c r="B366" s="5" t="s">
        <v>481</v>
      </c>
      <c r="C366" s="5" t="s">
        <v>132</v>
      </c>
      <c r="D366" s="5" t="str">
        <f>IF($C366="","",INDEX([4]PLAN_DESARROLLO!$B:$B,MATCH($C366,[4]PLAN_DESARROLLO!$A:$A,0)))</f>
        <v>2024257770011</v>
      </c>
      <c r="E366" s="5" t="str">
        <f>IF($C366="","",INDEX([4]PLAN_DESARROLLO!$C:$C,MATCH($C366,[4]PLAN_DESARROLLO!$A:$A,0)))</f>
        <v>POR EL SUPATÁ SOÑADO AVANZAMOS JUNTOS EN LA LÍNEA ESTRATÉGICA SOCIAL</v>
      </c>
      <c r="F366" s="5" t="str">
        <f>IF($C366="","",INDEX([4]PLAN_DESARROLLO!$D:$D,MATCH($C366,[4]PLAN_DESARROLLO!$A:$A,0)))</f>
        <v>POBLACIÓN VULNERABLE - VCA</v>
      </c>
      <c r="G366" s="5" t="str">
        <f>IF($C366="","",INDEX([4]PLAN_DESARROLLO!$E:$E,MATCH($C366,[4]PLAN_DESARROLLO!$A:$A,0)))</f>
        <v xml:space="preserve">Realizar 4 proyectos productivos para la generación de ingresos victima del conflicto armado </v>
      </c>
      <c r="H366" s="12">
        <v>4</v>
      </c>
      <c r="I366" s="12">
        <v>1</v>
      </c>
      <c r="J366" s="6">
        <f t="shared" si="17"/>
        <v>0.25</v>
      </c>
      <c r="K366" s="8">
        <v>11000000</v>
      </c>
      <c r="L366" s="8">
        <v>10996450</v>
      </c>
      <c r="M366" s="6">
        <f t="shared" si="18"/>
        <v>0.99967727272727269</v>
      </c>
      <c r="N366" s="5" t="s">
        <v>714</v>
      </c>
      <c r="O366" s="5" t="s">
        <v>496</v>
      </c>
      <c r="P366" s="5" t="s">
        <v>502</v>
      </c>
      <c r="Q366" s="5" t="s">
        <v>504</v>
      </c>
      <c r="R366" s="5"/>
      <c r="S366" s="5"/>
      <c r="T366" s="10">
        <f t="shared" ca="1" si="19"/>
        <v>46059</v>
      </c>
      <c r="U366" s="5"/>
    </row>
    <row r="367" spans="1:21" ht="30" x14ac:dyDescent="0.25">
      <c r="A367" s="5" t="s">
        <v>498</v>
      </c>
      <c r="B367" s="5" t="s">
        <v>481</v>
      </c>
      <c r="C367" s="5" t="s">
        <v>134</v>
      </c>
      <c r="D367" s="5" t="str">
        <f>IF($C367="","",INDEX([4]PLAN_DESARROLLO!$B:$B,MATCH($C367,[4]PLAN_DESARROLLO!$A:$A,0)))</f>
        <v>2024257770011</v>
      </c>
      <c r="E367" s="5" t="str">
        <f>IF($C367="","",INDEX([4]PLAN_DESARROLLO!$C:$C,MATCH($C367,[4]PLAN_DESARROLLO!$A:$A,0)))</f>
        <v>POR EL SUPATÁ SOÑADO AVANZAMOS JUNTOS EN LA LÍNEA ESTRATÉGICA SOCIAL</v>
      </c>
      <c r="F367" s="5" t="str">
        <f>IF($C367="","",INDEX([4]PLAN_DESARROLLO!$D:$D,MATCH($C367,[4]PLAN_DESARROLLO!$A:$A,0)))</f>
        <v>POBLACIÓN VULNERABLE - VCA</v>
      </c>
      <c r="G367" s="5" t="str">
        <f>IF($C367="","",INDEX([4]PLAN_DESARROLLO!$E:$E,MATCH($C367,[4]PLAN_DESARROLLO!$A:$A,0)))</f>
        <v>Realizar 2 jornadas de caracterizacion municipal de victimas $0</v>
      </c>
      <c r="H367" s="12">
        <v>2</v>
      </c>
      <c r="I367" s="12">
        <v>1</v>
      </c>
      <c r="J367" s="6">
        <f t="shared" si="17"/>
        <v>0.5</v>
      </c>
      <c r="K367" s="8">
        <v>0</v>
      </c>
      <c r="L367" s="8">
        <v>0</v>
      </c>
      <c r="M367" s="6">
        <f t="shared" si="18"/>
        <v>0</v>
      </c>
      <c r="N367" s="5" t="s">
        <v>715</v>
      </c>
      <c r="O367" s="5"/>
      <c r="P367" s="5" t="s">
        <v>502</v>
      </c>
      <c r="Q367" s="5" t="s">
        <v>504</v>
      </c>
      <c r="R367" s="5"/>
      <c r="S367" s="5"/>
      <c r="T367" s="10">
        <f t="shared" ca="1" si="19"/>
        <v>46059</v>
      </c>
      <c r="U367" s="5"/>
    </row>
    <row r="368" spans="1:21" ht="30" x14ac:dyDescent="0.25">
      <c r="A368" s="5" t="s">
        <v>498</v>
      </c>
      <c r="B368" s="5" t="s">
        <v>481</v>
      </c>
      <c r="C368" s="5" t="s">
        <v>136</v>
      </c>
      <c r="D368" s="5" t="str">
        <f>IF($C368="","",INDEX([4]PLAN_DESARROLLO!$B:$B,MATCH($C368,[4]PLAN_DESARROLLO!$A:$A,0)))</f>
        <v>2024257770011</v>
      </c>
      <c r="E368" s="5" t="str">
        <f>IF($C368="","",INDEX([4]PLAN_DESARROLLO!$C:$C,MATCH($C368,[4]PLAN_DESARROLLO!$A:$A,0)))</f>
        <v>POR EL SUPATÁ SOÑADO AVANZAMOS JUNTOS EN LA LÍNEA ESTRATÉGICA SOCIAL</v>
      </c>
      <c r="F368" s="5" t="str">
        <f>IF($C368="","",INDEX([4]PLAN_DESARROLLO!$D:$D,MATCH($C368,[4]PLAN_DESARROLLO!$A:$A,0)))</f>
        <v>POBLACIÓN VULNERABLE - VCA</v>
      </c>
      <c r="G368" s="5" t="str">
        <f>IF($C368="","",INDEX([4]PLAN_DESARROLLO!$E:$E,MATCH($C368,[4]PLAN_DESARROLLO!$A:$A,0)))</f>
        <v xml:space="preserve">Conmemoracion del dia nacional de la memoria y la solidaridad con las victimas </v>
      </c>
      <c r="H368" s="12">
        <v>4</v>
      </c>
      <c r="I368" s="12">
        <v>1</v>
      </c>
      <c r="J368" s="6">
        <f t="shared" si="17"/>
        <v>0.25</v>
      </c>
      <c r="K368" s="8">
        <v>4500000</v>
      </c>
      <c r="L368" s="8">
        <v>4489998.9000000004</v>
      </c>
      <c r="M368" s="6">
        <f t="shared" si="18"/>
        <v>0.99777753333333341</v>
      </c>
      <c r="N368" s="5" t="s">
        <v>716</v>
      </c>
      <c r="O368" s="5" t="s">
        <v>496</v>
      </c>
      <c r="P368" s="5" t="s">
        <v>502</v>
      </c>
      <c r="Q368" s="5" t="s">
        <v>504</v>
      </c>
      <c r="R368" s="5"/>
      <c r="S368" s="5"/>
      <c r="T368" s="10">
        <f t="shared" ca="1" si="19"/>
        <v>46059</v>
      </c>
      <c r="U368" s="5"/>
    </row>
    <row r="369" spans="1:21" ht="30" x14ac:dyDescent="0.25">
      <c r="A369" s="5" t="s">
        <v>498</v>
      </c>
      <c r="B369" s="5" t="s">
        <v>481</v>
      </c>
      <c r="C369" s="5" t="s">
        <v>247</v>
      </c>
      <c r="D369" s="5" t="str">
        <f>IF($C369="","",INDEX([4]PLAN_DESARROLLO!$B:$B,MATCH($C369,[4]PLAN_DESARROLLO!$A:$A,0)))</f>
        <v>202500000008261</v>
      </c>
      <c r="E369" s="5" t="str">
        <f>IF($C369="","",INDEX([4]PLAN_DESARROLLO!$C:$C,MATCH($C369,[4]PLAN_DESARROLLO!$A:$A,0)))</f>
        <v>POR EL SUPATÁ SOÑADO AVANZAMOS JUNTOS EN LA LÍNEA ESTRATÉGICA ECONÓMICA</v>
      </c>
      <c r="F369" s="5" t="str">
        <f>IF($C369="","",INDEX([4]PLAN_DESARROLLO!$D:$D,MATCH($C369,[4]PLAN_DESARROLLO!$A:$A,0)))</f>
        <v>TECNOLOGIAS DE LA INFORMACIÓN Y LAS COMUNICACIONES</v>
      </c>
      <c r="G369" s="5" t="str">
        <f>IF($C369="","",INDEX([4]PLAN_DESARROLLO!$E:$E,MATCH($C369,[4]PLAN_DESARROLLO!$A:$A,0)))</f>
        <v>Mantener anualmente una persona calificada para Implementar la estrategia de Gobierno Digital</v>
      </c>
      <c r="H369" s="12">
        <v>4</v>
      </c>
      <c r="I369" s="12">
        <v>1</v>
      </c>
      <c r="J369" s="6">
        <f t="shared" si="17"/>
        <v>0.25</v>
      </c>
      <c r="K369" s="8">
        <v>16225000</v>
      </c>
      <c r="L369" s="8">
        <v>16225000</v>
      </c>
      <c r="M369" s="6">
        <f t="shared" si="18"/>
        <v>1</v>
      </c>
      <c r="N369" s="5" t="s">
        <v>717</v>
      </c>
      <c r="O369" s="5" t="s">
        <v>500</v>
      </c>
      <c r="P369" s="5" t="s">
        <v>502</v>
      </c>
      <c r="Q369" s="5" t="s">
        <v>504</v>
      </c>
      <c r="R369" s="5"/>
      <c r="S369" s="5"/>
      <c r="T369" s="10">
        <f t="shared" ca="1" si="19"/>
        <v>46059</v>
      </c>
      <c r="U369" s="5"/>
    </row>
    <row r="370" spans="1:21" ht="30" x14ac:dyDescent="0.25">
      <c r="A370" s="5" t="s">
        <v>498</v>
      </c>
      <c r="B370" s="5" t="s">
        <v>481</v>
      </c>
      <c r="C370" s="5" t="s">
        <v>252</v>
      </c>
      <c r="D370" s="5" t="str">
        <f>IF($C370="","",INDEX([4]PLAN_DESARROLLO!$B:$B,MATCH($C370,[4]PLAN_DESARROLLO!$A:$A,0)))</f>
        <v>202500000008261</v>
      </c>
      <c r="E370" s="5" t="str">
        <f>IF($C370="","",INDEX([4]PLAN_DESARROLLO!$C:$C,MATCH($C370,[4]PLAN_DESARROLLO!$A:$A,0)))</f>
        <v>POR EL SUPATÁ SOÑADO AVANZAMOS JUNTOS EN LA LÍNEA ESTRATÉGICA ECONÓMICA</v>
      </c>
      <c r="F370" s="5" t="str">
        <f>IF($C370="","",INDEX([4]PLAN_DESARROLLO!$D:$D,MATCH($C370,[4]PLAN_DESARROLLO!$A:$A,0)))</f>
        <v>TECNOLOGIAS DE LA INFORMACIÓN Y LAS COMUNICACIONES</v>
      </c>
      <c r="G370" s="5" t="str">
        <f>IF($C370="","",INDEX([4]PLAN_DESARROLLO!$E:$E,MATCH($C370,[4]PLAN_DESARROLLO!$A:$A,0)))</f>
        <v xml:space="preserve">Realizar 2 dotaciones de software, dotación tecnológica, sonido para eventos   y equipos de altavoz </v>
      </c>
      <c r="H370" s="12">
        <v>2</v>
      </c>
      <c r="I370" s="12">
        <v>1</v>
      </c>
      <c r="J370" s="6">
        <f t="shared" si="17"/>
        <v>0.5</v>
      </c>
      <c r="K370" s="8">
        <v>39800000</v>
      </c>
      <c r="L370" s="8">
        <v>39800000</v>
      </c>
      <c r="M370" s="6">
        <f t="shared" si="18"/>
        <v>1</v>
      </c>
      <c r="N370" s="5" t="s">
        <v>718</v>
      </c>
      <c r="O370" s="5" t="s">
        <v>500</v>
      </c>
      <c r="P370" s="5" t="s">
        <v>502</v>
      </c>
      <c r="Q370" s="5" t="s">
        <v>504</v>
      </c>
      <c r="R370" s="5"/>
      <c r="S370" s="5"/>
      <c r="T370" s="10">
        <f t="shared" ca="1" si="19"/>
        <v>46059</v>
      </c>
      <c r="U370" s="5"/>
    </row>
    <row r="371" spans="1:21" ht="45" x14ac:dyDescent="0.25">
      <c r="A371" s="5" t="s">
        <v>498</v>
      </c>
      <c r="B371" s="5" t="s">
        <v>481</v>
      </c>
      <c r="C371" s="5" t="s">
        <v>254</v>
      </c>
      <c r="D371" s="5" t="str">
        <f>IF($C371="","",INDEX([4]PLAN_DESARROLLO!$B:$B,MATCH($C371,[4]PLAN_DESARROLLO!$A:$A,0)))</f>
        <v>202500000008261</v>
      </c>
      <c r="E371" s="5" t="str">
        <f>IF($C371="","",INDEX([4]PLAN_DESARROLLO!$C:$C,MATCH($C371,[4]PLAN_DESARROLLO!$A:$A,0)))</f>
        <v>POR EL SUPATÁ SOÑADO AVANZAMOS JUNTOS EN LA LÍNEA ESTRATÉGICA ECONÓMICA</v>
      </c>
      <c r="F371" s="5" t="str">
        <f>IF($C371="","",INDEX([4]PLAN_DESARROLLO!$D:$D,MATCH($C371,[4]PLAN_DESARROLLO!$A:$A,0)))</f>
        <v>TECNOLOGIAS DE LA INFORMACIÓN Y LAS COMUNICACIONES</v>
      </c>
      <c r="G371" s="5" t="str">
        <f>IF($C371="","",INDEX([4]PLAN_DESARROLLO!$E:$E,MATCH($C371,[4]PLAN_DESARROLLO!$A:$A,0)))</f>
        <v>Realizar anualmente 4 actualizaciones a la página web del municipio con el objetivo de cumplir anualmente con el informe ITA de la Procuraduría General de la Nación</v>
      </c>
      <c r="H371" s="12">
        <v>4</v>
      </c>
      <c r="I371" s="12">
        <v>0</v>
      </c>
      <c r="J371" s="6">
        <f t="shared" si="17"/>
        <v>0</v>
      </c>
      <c r="K371" s="8">
        <v>0</v>
      </c>
      <c r="L371" s="8">
        <v>0</v>
      </c>
      <c r="M371" s="6">
        <f t="shared" si="18"/>
        <v>0</v>
      </c>
      <c r="N371" s="5" t="s">
        <v>692</v>
      </c>
      <c r="O371" s="5"/>
      <c r="P371" s="5" t="s">
        <v>495</v>
      </c>
      <c r="Q371" s="5" t="s">
        <v>504</v>
      </c>
      <c r="R371" s="5"/>
      <c r="S371" s="5"/>
      <c r="T371" s="10">
        <f t="shared" ca="1" si="19"/>
        <v>46059</v>
      </c>
      <c r="U371" s="5"/>
    </row>
    <row r="372" spans="1:21" ht="30" x14ac:dyDescent="0.25">
      <c r="A372" s="5" t="s">
        <v>498</v>
      </c>
      <c r="B372" s="5" t="s">
        <v>481</v>
      </c>
      <c r="C372" s="5" t="s">
        <v>256</v>
      </c>
      <c r="D372" s="5" t="str">
        <f>IF($C372="","",INDEX([4]PLAN_DESARROLLO!$B:$B,MATCH($C372,[4]PLAN_DESARROLLO!$A:$A,0)))</f>
        <v>202500000008863</v>
      </c>
      <c r="E372" s="5" t="str">
        <f>IF($C372="","",INDEX([4]PLAN_DESARROLLO!$C:$C,MATCH($C372,[4]PLAN_DESARROLLO!$A:$A,0)))</f>
        <v>POR EL SUPATÁ SOÑADO AVANZAMOS JUNTOS EN LA LÍNEA ESTRATÉGICA ECONÓMICA</v>
      </c>
      <c r="F372" s="5" t="str">
        <f>IF($C372="","",INDEX([4]PLAN_DESARROLLO!$D:$D,MATCH($C372,[4]PLAN_DESARROLLO!$A:$A,0)))</f>
        <v>TECNOLOGIAS DE LA INFORMACIÓN Y LAS COMUNICACIONES</v>
      </c>
      <c r="G372" s="5" t="str">
        <f>IF($C372="","",INDEX([4]PLAN_DESARROLLO!$E:$E,MATCH($C372,[4]PLAN_DESARROLLO!$A:$A,0)))</f>
        <v>Realizar anualmente la Implementación de trámites y servicios en línea</v>
      </c>
      <c r="H372" s="12">
        <v>4</v>
      </c>
      <c r="I372" s="12">
        <v>1</v>
      </c>
      <c r="J372" s="6">
        <f t="shared" si="17"/>
        <v>0.25</v>
      </c>
      <c r="K372" s="8">
        <v>0</v>
      </c>
      <c r="L372" s="8">
        <v>0</v>
      </c>
      <c r="M372" s="6">
        <f t="shared" si="18"/>
        <v>0</v>
      </c>
      <c r="N372" s="5" t="s">
        <v>719</v>
      </c>
      <c r="O372" s="5"/>
      <c r="P372" s="5" t="s">
        <v>502</v>
      </c>
      <c r="Q372" s="5" t="s">
        <v>504</v>
      </c>
      <c r="R372" s="5"/>
      <c r="S372" s="5"/>
      <c r="T372" s="10">
        <f t="shared" ca="1" si="19"/>
        <v>46059</v>
      </c>
      <c r="U372" s="5"/>
    </row>
    <row r="373" spans="1:21" ht="30" x14ac:dyDescent="0.25">
      <c r="A373" s="5" t="s">
        <v>498</v>
      </c>
      <c r="B373" s="5" t="s">
        <v>481</v>
      </c>
      <c r="C373" s="5" t="s">
        <v>259</v>
      </c>
      <c r="D373" s="5" t="str">
        <f>IF($C373="","",INDEX([4]PLAN_DESARROLLO!$B:$B,MATCH($C373,[4]PLAN_DESARROLLO!$A:$A,0)))</f>
        <v>202500000008863</v>
      </c>
      <c r="E373" s="5" t="str">
        <f>IF($C373="","",INDEX([4]PLAN_DESARROLLO!$C:$C,MATCH($C373,[4]PLAN_DESARROLLO!$A:$A,0)))</f>
        <v>POR EL SUPATÁ SOÑADO AVANZAMOS JUNTOS EN LA LÍNEA ESTRATÉGICA ECONÓMICA</v>
      </c>
      <c r="F373" s="5" t="str">
        <f>IF($C373="","",INDEX([4]PLAN_DESARROLLO!$D:$D,MATCH($C373,[4]PLAN_DESARROLLO!$A:$A,0)))</f>
        <v>TECNOLOGIAS DE LA INFORMACIÓN Y LAS COMUNICACIONES</v>
      </c>
      <c r="G373" s="5" t="str">
        <f>IF($C373="","",INDEX([4]PLAN_DESARROLLO!$E:$E,MATCH($C373,[4]PLAN_DESARROLLO!$A:$A,0)))</f>
        <v>Realizar 4 capacitaciones sobre la importancia de Gobierno Digital y  de las TICS</v>
      </c>
      <c r="H373" s="12">
        <v>4</v>
      </c>
      <c r="I373" s="12">
        <v>1</v>
      </c>
      <c r="J373" s="6">
        <f t="shared" si="17"/>
        <v>0.25</v>
      </c>
      <c r="K373" s="8">
        <v>0</v>
      </c>
      <c r="L373" s="8">
        <v>0</v>
      </c>
      <c r="M373" s="6">
        <f t="shared" si="18"/>
        <v>0</v>
      </c>
      <c r="N373" s="5" t="s">
        <v>711</v>
      </c>
      <c r="O373" s="5"/>
      <c r="P373" s="5" t="s">
        <v>502</v>
      </c>
      <c r="Q373" s="5" t="s">
        <v>504</v>
      </c>
      <c r="R373" s="5"/>
      <c r="S373" s="5"/>
      <c r="T373" s="10">
        <f t="shared" ca="1" si="19"/>
        <v>46059</v>
      </c>
      <c r="U373" s="5"/>
    </row>
    <row r="374" spans="1:21" ht="45" x14ac:dyDescent="0.25">
      <c r="A374" s="5" t="s">
        <v>498</v>
      </c>
      <c r="B374" s="5" t="s">
        <v>481</v>
      </c>
      <c r="C374" s="5" t="s">
        <v>354</v>
      </c>
      <c r="D374" s="5" t="str">
        <f>IF($C374="","",INDEX([4]PLAN_DESARROLLO!$B:$B,MATCH($C374,[4]PLAN_DESARROLLO!$A:$A,0)))</f>
        <v>2024257770030</v>
      </c>
      <c r="E374" s="5" t="str">
        <f>IF($C374="","",INDEX([4]PLAN_DESARROLLO!$C:$C,MATCH($C374,[4]PLAN_DESARROLLO!$A:$A,0)))</f>
        <v>POR EL SUPATÁ SOÑADO AVANZAMOS JUNTOS EN LA LÍNEA ESTRATÉGICA INSTITUCIONAL</v>
      </c>
      <c r="F374" s="5" t="str">
        <f>IF($C374="","",INDEX([4]PLAN_DESARROLLO!$D:$D,MATCH($C374,[4]PLAN_DESARROLLO!$A:$A,0)))</f>
        <v>FORTALECIMIENTO INSTITUCIONAL</v>
      </c>
      <c r="G374" s="5" t="str">
        <f>IF($C374="","",INDEX([4]PLAN_DESARROLLO!$E:$E,MATCH($C374,[4]PLAN_DESARROLLO!$A:$A,0)))</f>
        <v>Implementar un  programa  anual para el Fortalecimiento Institucional</v>
      </c>
      <c r="H374" s="12">
        <v>4</v>
      </c>
      <c r="I374" s="12">
        <v>1</v>
      </c>
      <c r="J374" s="6">
        <f t="shared" si="17"/>
        <v>0.25</v>
      </c>
      <c r="K374" s="8">
        <v>0</v>
      </c>
      <c r="L374" s="8">
        <v>0</v>
      </c>
      <c r="M374" s="6">
        <f t="shared" si="18"/>
        <v>0</v>
      </c>
      <c r="N374" s="5" t="s">
        <v>687</v>
      </c>
      <c r="O374" s="5"/>
      <c r="P374" s="5" t="s">
        <v>502</v>
      </c>
      <c r="Q374" s="5" t="s">
        <v>504</v>
      </c>
      <c r="R374" s="5"/>
      <c r="S374" s="5"/>
      <c r="T374" s="10">
        <f t="shared" ca="1" si="19"/>
        <v>46059</v>
      </c>
      <c r="U374" s="5"/>
    </row>
    <row r="375" spans="1:21" ht="30" x14ac:dyDescent="0.25">
      <c r="A375" s="5" t="s">
        <v>498</v>
      </c>
      <c r="B375" s="5" t="s">
        <v>481</v>
      </c>
      <c r="C375" s="5" t="s">
        <v>360</v>
      </c>
      <c r="D375" s="5" t="str">
        <f>IF($C375="","",INDEX([4]PLAN_DESARROLLO!$B:$B,MATCH($C375,[4]PLAN_DESARROLLO!$A:$A,0)))</f>
        <v>2024257770030</v>
      </c>
      <c r="E375" s="5" t="str">
        <f>IF($C375="","",INDEX([4]PLAN_DESARROLLO!$C:$C,MATCH($C375,[4]PLAN_DESARROLLO!$A:$A,0)))</f>
        <v>POR EL SUPATÁ SOÑADO AVANZAMOS JUNTOS EN LA LÍNEA ESTRATÉGICA INSTITUCIONAL</v>
      </c>
      <c r="F375" s="5" t="str">
        <f>IF($C375="","",INDEX([4]PLAN_DESARROLLO!$D:$D,MATCH($C375,[4]PLAN_DESARROLLO!$A:$A,0)))</f>
        <v>FORTALECIMIENTO INSTITUCIONAL</v>
      </c>
      <c r="G375" s="5" t="str">
        <f>IF($C375="","",INDEX([4]PLAN_DESARROLLO!$E:$E,MATCH($C375,[4]PLAN_DESARROLLO!$A:$A,0)))</f>
        <v>Implementar y ejecutar un Programa anual del Sistema General de Seguridad y Salud en el trabajo en el cuatrienio</v>
      </c>
      <c r="H375" s="12">
        <v>4</v>
      </c>
      <c r="I375" s="12">
        <v>1</v>
      </c>
      <c r="J375" s="6">
        <f t="shared" si="17"/>
        <v>0.25</v>
      </c>
      <c r="K375" s="8">
        <v>27298700</v>
      </c>
      <c r="L375" s="8">
        <v>27298700</v>
      </c>
      <c r="M375" s="6">
        <f t="shared" si="18"/>
        <v>1</v>
      </c>
      <c r="N375" s="5" t="s">
        <v>720</v>
      </c>
      <c r="O375" s="5" t="s">
        <v>500</v>
      </c>
      <c r="P375" s="5" t="s">
        <v>502</v>
      </c>
      <c r="Q375" s="5" t="s">
        <v>504</v>
      </c>
      <c r="R375" s="5"/>
      <c r="S375" s="5"/>
      <c r="T375" s="10">
        <f t="shared" ca="1" si="19"/>
        <v>46059</v>
      </c>
      <c r="U375" s="5"/>
    </row>
    <row r="376" spans="1:21" ht="45" x14ac:dyDescent="0.25">
      <c r="A376" s="5" t="s">
        <v>498</v>
      </c>
      <c r="B376" s="5" t="s">
        <v>481</v>
      </c>
      <c r="C376" s="5" t="s">
        <v>362</v>
      </c>
      <c r="D376" s="5" t="str">
        <f>IF($C376="","",INDEX([4]PLAN_DESARROLLO!$B:$B,MATCH($C376,[4]PLAN_DESARROLLO!$A:$A,0)))</f>
        <v>2024257770030</v>
      </c>
      <c r="E376" s="5" t="str">
        <f>IF($C376="","",INDEX([4]PLAN_DESARROLLO!$C:$C,MATCH($C376,[4]PLAN_DESARROLLO!$A:$A,0)))</f>
        <v>POR EL SUPATÁ SOÑADO AVANZAMOS JUNTOS EN LA LÍNEA ESTRATÉGICA INSTITUCIONAL</v>
      </c>
      <c r="F376" s="5" t="str">
        <f>IF($C376="","",INDEX([4]PLAN_DESARROLLO!$D:$D,MATCH($C376,[4]PLAN_DESARROLLO!$A:$A,0)))</f>
        <v>FORTALECIMIENTO INSTITUCIONAL</v>
      </c>
      <c r="G376" s="5" t="str">
        <f>IF($C376="","",INDEX([4]PLAN_DESARROLLO!$E:$E,MATCH($C376,[4]PLAN_DESARROLLO!$A:$A,0)))</f>
        <v>Realizar anualmente  la contratacion de personal especializado, profesional, tecnico y asistencial en la prestacion de servicios y  apoyo de la gestion en las dependencias de la administracion municipal</v>
      </c>
      <c r="H376" s="12">
        <v>4</v>
      </c>
      <c r="I376" s="12">
        <v>1</v>
      </c>
      <c r="J376" s="6">
        <f t="shared" si="17"/>
        <v>0.25</v>
      </c>
      <c r="K376" s="8">
        <v>383526166</v>
      </c>
      <c r="L376" s="8">
        <v>383526166</v>
      </c>
      <c r="M376" s="6">
        <f t="shared" si="18"/>
        <v>1</v>
      </c>
      <c r="N376" s="5" t="s">
        <v>721</v>
      </c>
      <c r="O376" s="5" t="s">
        <v>500</v>
      </c>
      <c r="P376" s="5" t="s">
        <v>502</v>
      </c>
      <c r="Q376" s="5" t="s">
        <v>504</v>
      </c>
      <c r="R376" s="5"/>
      <c r="S376" s="5"/>
      <c r="T376" s="10">
        <f t="shared" ca="1" si="19"/>
        <v>46059</v>
      </c>
      <c r="U376" s="5"/>
    </row>
    <row r="377" spans="1:21" ht="30" x14ac:dyDescent="0.25">
      <c r="A377" s="5" t="s">
        <v>498</v>
      </c>
      <c r="B377" s="5" t="s">
        <v>481</v>
      </c>
      <c r="C377" s="5" t="s">
        <v>364</v>
      </c>
      <c r="D377" s="5" t="str">
        <f>IF($C377="","",INDEX([4]PLAN_DESARROLLO!$B:$B,MATCH($C377,[4]PLAN_DESARROLLO!$A:$A,0)))</f>
        <v>2024257770030</v>
      </c>
      <c r="E377" s="5" t="str">
        <f>IF($C377="","",INDEX([4]PLAN_DESARROLLO!$C:$C,MATCH($C377,[4]PLAN_DESARROLLO!$A:$A,0)))</f>
        <v>POR EL SUPATÁ SOÑADO AVANZAMOS JUNTOS EN LA LÍNEA ESTRATÉGICA INSTITUCIONAL</v>
      </c>
      <c r="F377" s="5" t="str">
        <f>IF($C377="","",INDEX([4]PLAN_DESARROLLO!$D:$D,MATCH($C377,[4]PLAN_DESARROLLO!$A:$A,0)))</f>
        <v>FORTALECIMIENTO INSTITUCIONAL</v>
      </c>
      <c r="G377" s="5" t="str">
        <f>IF($C377="","",INDEX([4]PLAN_DESARROLLO!$E:$E,MATCH($C377,[4]PLAN_DESARROLLO!$A:$A,0)))</f>
        <v>Implementar un Plan Anual de Bienestar  e Incentivos para los funcionarios de la administración municipal</v>
      </c>
      <c r="H377" s="12">
        <v>4</v>
      </c>
      <c r="I377" s="12">
        <v>1</v>
      </c>
      <c r="J377" s="6">
        <f t="shared" si="17"/>
        <v>0.25</v>
      </c>
      <c r="K377" s="8">
        <v>28402400</v>
      </c>
      <c r="L377" s="8">
        <v>28402400</v>
      </c>
      <c r="M377" s="6">
        <f t="shared" si="18"/>
        <v>1</v>
      </c>
      <c r="N377" s="5" t="s">
        <v>722</v>
      </c>
      <c r="O377" s="5" t="s">
        <v>500</v>
      </c>
      <c r="P377" s="5" t="s">
        <v>502</v>
      </c>
      <c r="Q377" s="5" t="s">
        <v>504</v>
      </c>
      <c r="R377" s="5"/>
      <c r="S377" s="5"/>
      <c r="T377" s="10">
        <f t="shared" ca="1" si="19"/>
        <v>46059</v>
      </c>
      <c r="U377" s="5"/>
    </row>
    <row r="378" spans="1:21" ht="45" x14ac:dyDescent="0.25">
      <c r="A378" s="5" t="s">
        <v>498</v>
      </c>
      <c r="B378" s="5" t="s">
        <v>481</v>
      </c>
      <c r="C378" s="5" t="s">
        <v>366</v>
      </c>
      <c r="D378" s="5" t="str">
        <f>IF($C378="","",INDEX([4]PLAN_DESARROLLO!$B:$B,MATCH($C378,[4]PLAN_DESARROLLO!$A:$A,0)))</f>
        <v>2024257770030</v>
      </c>
      <c r="E378" s="5" t="str">
        <f>IF($C378="","",INDEX([4]PLAN_DESARROLLO!$C:$C,MATCH($C378,[4]PLAN_DESARROLLO!$A:$A,0)))</f>
        <v>POR EL SUPATÁ SOÑADO AVANZAMOS JUNTOS EN LA LÍNEA ESTRATÉGICA INSTITUCIONAL</v>
      </c>
      <c r="F378" s="5" t="str">
        <f>IF($C378="","",INDEX([4]PLAN_DESARROLLO!$D:$D,MATCH($C378,[4]PLAN_DESARROLLO!$A:$A,0)))</f>
        <v>FORTALECIMIENTO INSTITUCIONAL</v>
      </c>
      <c r="G378" s="5" t="str">
        <f>IF($C378="","",INDEX([4]PLAN_DESARROLLO!$E:$E,MATCH($C378,[4]PLAN_DESARROLLO!$A:$A,0)))</f>
        <v>Organizar los archivos de gestión y fondos acumulados de la Administración Municipal  de acuerdo a las  normas vigentes relacionada con los archivos, durante el cuatrienio</v>
      </c>
      <c r="H378" s="12">
        <v>4</v>
      </c>
      <c r="I378" s="12">
        <v>1</v>
      </c>
      <c r="J378" s="6">
        <f t="shared" si="17"/>
        <v>0.25</v>
      </c>
      <c r="K378" s="8">
        <v>19000000</v>
      </c>
      <c r="L378" s="8">
        <v>19000000</v>
      </c>
      <c r="M378" s="6">
        <f t="shared" si="18"/>
        <v>1</v>
      </c>
      <c r="N378" s="5" t="s">
        <v>723</v>
      </c>
      <c r="O378" s="5" t="s">
        <v>500</v>
      </c>
      <c r="P378" s="5" t="s">
        <v>502</v>
      </c>
      <c r="Q378" s="5" t="s">
        <v>504</v>
      </c>
      <c r="R378" s="5"/>
      <c r="S378" s="5"/>
      <c r="T378" s="10">
        <f t="shared" ca="1" si="19"/>
        <v>46059</v>
      </c>
      <c r="U378" s="5"/>
    </row>
    <row r="379" spans="1:21" ht="45" x14ac:dyDescent="0.25">
      <c r="A379" s="5" t="s">
        <v>498</v>
      </c>
      <c r="B379" s="5" t="s">
        <v>481</v>
      </c>
      <c r="C379" s="5" t="s">
        <v>387</v>
      </c>
      <c r="D379" s="5" t="str">
        <f>IF($C379="","",INDEX([4]PLAN_DESARROLLO!$B:$B,MATCH($C379,[4]PLAN_DESARROLLO!$A:$A,0)))</f>
        <v>2024257770032</v>
      </c>
      <c r="E379" s="5" t="str">
        <f>IF($C379="","",INDEX([4]PLAN_DESARROLLO!$C:$C,MATCH($C379,[4]PLAN_DESARROLLO!$A:$A,0)))</f>
        <v>POR EL SUPATÁ SOÑADO AVANZAMOS JUNTOS EN LA LÍNEA ESTRATÉGICA INSTITUCIONAL</v>
      </c>
      <c r="F379" s="5" t="str">
        <f>IF($C379="","",INDEX([4]PLAN_DESARROLLO!$D:$D,MATCH($C379,[4]PLAN_DESARROLLO!$A:$A,0)))</f>
        <v>DESARROLLO COMUNITARIO</v>
      </c>
      <c r="G379" s="5" t="str">
        <f>IF($C379="","",INDEX([4]PLAN_DESARROLLO!$E:$E,MATCH($C379,[4]PLAN_DESARROLLO!$A:$A,0)))</f>
        <v xml:space="preserve">Efectuar 04 actividades encaminadas a reactivar y fortalecer los espacios de participación. </v>
      </c>
      <c r="H379" s="12">
        <v>4</v>
      </c>
      <c r="I379" s="12">
        <v>1</v>
      </c>
      <c r="J379" s="6">
        <f t="shared" si="17"/>
        <v>0.25</v>
      </c>
      <c r="K379" s="8">
        <v>0</v>
      </c>
      <c r="L379" s="8">
        <v>0</v>
      </c>
      <c r="M379" s="6">
        <f t="shared" si="18"/>
        <v>0</v>
      </c>
      <c r="N379" s="5" t="s">
        <v>724</v>
      </c>
      <c r="O379" s="5" t="s">
        <v>500</v>
      </c>
      <c r="P379" s="5" t="s">
        <v>502</v>
      </c>
      <c r="Q379" s="5" t="s">
        <v>504</v>
      </c>
      <c r="R379" s="5"/>
      <c r="S379" s="5"/>
      <c r="T379" s="10">
        <f t="shared" ca="1" si="19"/>
        <v>46059</v>
      </c>
      <c r="U379" s="5"/>
    </row>
    <row r="380" spans="1:21" ht="45" x14ac:dyDescent="0.25">
      <c r="A380" s="5" t="s">
        <v>498</v>
      </c>
      <c r="B380" s="5" t="s">
        <v>481</v>
      </c>
      <c r="C380" s="5" t="s">
        <v>391</v>
      </c>
      <c r="D380" s="5" t="str">
        <f>IF($C380="","",INDEX([4]PLAN_DESARROLLO!$B:$B,MATCH($C380,[4]PLAN_DESARROLLO!$A:$A,0)))</f>
        <v>2024257770032</v>
      </c>
      <c r="E380" s="5" t="str">
        <f>IF($C380="","",INDEX([4]PLAN_DESARROLLO!$C:$C,MATCH($C380,[4]PLAN_DESARROLLO!$A:$A,0)))</f>
        <v>POR EL SUPATÁ SOÑADO AVANZAMOS JUNTOS EN LA LÍNEA ESTRATÉGICA INSTITUCIONAL</v>
      </c>
      <c r="F380" s="5" t="str">
        <f>IF($C380="","",INDEX([4]PLAN_DESARROLLO!$D:$D,MATCH($C380,[4]PLAN_DESARROLLO!$A:$A,0)))</f>
        <v>DESARROLLO COMUNITARIO</v>
      </c>
      <c r="G380" s="5" t="str">
        <f>IF($C380="","",INDEX([4]PLAN_DESARROLLO!$E:$E,MATCH($C380,[4]PLAN_DESARROLLO!$A:$A,0)))</f>
        <v>Realizar 04 capacitaciones para fortalecer las juntas de acción comunal.</v>
      </c>
      <c r="H380" s="12">
        <v>4</v>
      </c>
      <c r="I380" s="12">
        <v>1</v>
      </c>
      <c r="J380" s="6">
        <f t="shared" si="17"/>
        <v>0.25</v>
      </c>
      <c r="K380" s="8">
        <v>0</v>
      </c>
      <c r="L380" s="8">
        <v>0</v>
      </c>
      <c r="M380" s="6">
        <f t="shared" si="18"/>
        <v>0</v>
      </c>
      <c r="N380" s="5" t="s">
        <v>724</v>
      </c>
      <c r="O380" s="5" t="s">
        <v>500</v>
      </c>
      <c r="P380" s="5" t="s">
        <v>502</v>
      </c>
      <c r="Q380" s="5" t="s">
        <v>504</v>
      </c>
      <c r="R380" s="5"/>
      <c r="S380" s="5"/>
      <c r="T380" s="10">
        <f t="shared" ca="1" si="19"/>
        <v>46059</v>
      </c>
      <c r="U380" s="5"/>
    </row>
    <row r="381" spans="1:21" ht="30" x14ac:dyDescent="0.25">
      <c r="A381" s="5" t="s">
        <v>498</v>
      </c>
      <c r="B381" s="5" t="s">
        <v>481</v>
      </c>
      <c r="C381" s="5" t="s">
        <v>393</v>
      </c>
      <c r="D381" s="5" t="str">
        <f>IF($C381="","",INDEX([4]PLAN_DESARROLLO!$B:$B,MATCH($C381,[4]PLAN_DESARROLLO!$A:$A,0)))</f>
        <v>2024257770032</v>
      </c>
      <c r="E381" s="5" t="str">
        <f>IF($C381="","",INDEX([4]PLAN_DESARROLLO!$C:$C,MATCH($C381,[4]PLAN_DESARROLLO!$A:$A,0)))</f>
        <v>POR EL SUPATÁ SOÑADO AVANZAMOS JUNTOS EN LA LÍNEA ESTRATÉGICA INSTITUCIONAL</v>
      </c>
      <c r="F381" s="5" t="str">
        <f>IF($C381="","",INDEX([4]PLAN_DESARROLLO!$D:$D,MATCH($C381,[4]PLAN_DESARROLLO!$A:$A,0)))</f>
        <v>DESARROLLO COMUNITARIO</v>
      </c>
      <c r="G381" s="5" t="str">
        <f>IF($C381="","",INDEX([4]PLAN_DESARROLLO!$E:$E,MATCH($C381,[4]PLAN_DESARROLLO!$A:$A,0)))</f>
        <v>Realizar 4 rendiciones de cuentas sobre la gestión de la administración municipal.</v>
      </c>
      <c r="H381" s="12">
        <v>4</v>
      </c>
      <c r="I381" s="12">
        <v>1</v>
      </c>
      <c r="J381" s="6">
        <f t="shared" si="17"/>
        <v>0.25</v>
      </c>
      <c r="K381" s="8">
        <v>0</v>
      </c>
      <c r="L381" s="8">
        <v>0</v>
      </c>
      <c r="M381" s="6">
        <f t="shared" si="18"/>
        <v>0</v>
      </c>
      <c r="N381" s="5" t="s">
        <v>725</v>
      </c>
      <c r="O381" s="5"/>
      <c r="P381" s="5" t="s">
        <v>502</v>
      </c>
      <c r="Q381" s="5" t="s">
        <v>504</v>
      </c>
      <c r="R381" s="5"/>
      <c r="S381" s="5"/>
      <c r="T381" s="10">
        <f t="shared" ca="1" si="19"/>
        <v>46059</v>
      </c>
      <c r="U381" s="5"/>
    </row>
    <row r="382" spans="1:21" ht="30" x14ac:dyDescent="0.25">
      <c r="A382" s="5" t="s">
        <v>498</v>
      </c>
      <c r="B382" s="5" t="s">
        <v>481</v>
      </c>
      <c r="C382" s="5" t="s">
        <v>395</v>
      </c>
      <c r="D382" s="5" t="str">
        <f>IF($C382="","",INDEX([4]PLAN_DESARROLLO!$B:$B,MATCH($C382,[4]PLAN_DESARROLLO!$A:$A,0)))</f>
        <v>2024257770032</v>
      </c>
      <c r="E382" s="5" t="str">
        <f>IF($C382="","",INDEX([4]PLAN_DESARROLLO!$C:$C,MATCH($C382,[4]PLAN_DESARROLLO!$A:$A,0)))</f>
        <v>POR EL SUPATÁ SOÑADO AVANZAMOS JUNTOS EN LA LÍNEA ESTRATÉGICA INSTITUCIONAL</v>
      </c>
      <c r="F382" s="5" t="str">
        <f>IF($C382="","",INDEX([4]PLAN_DESARROLLO!$D:$D,MATCH($C382,[4]PLAN_DESARROLLO!$A:$A,0)))</f>
        <v>DESARROLLO COMUNITARIO</v>
      </c>
      <c r="G382" s="5" t="str">
        <f>IF($C382="","",INDEX([4]PLAN_DESARROLLO!$E:$E,MATCH($C382,[4]PLAN_DESARROLLO!$A:$A,0)))</f>
        <v>Promover 1 veeduría ciudadana como espacio garante de control social.</v>
      </c>
      <c r="H382" s="12">
        <v>1</v>
      </c>
      <c r="I382" s="12">
        <v>0</v>
      </c>
      <c r="J382" s="6">
        <f t="shared" si="17"/>
        <v>0</v>
      </c>
      <c r="K382" s="8">
        <v>0</v>
      </c>
      <c r="L382" s="8">
        <v>0</v>
      </c>
      <c r="M382" s="6">
        <f t="shared" si="18"/>
        <v>0</v>
      </c>
      <c r="N382" s="5" t="s">
        <v>692</v>
      </c>
      <c r="O382" s="5"/>
      <c r="P382" s="5" t="s">
        <v>495</v>
      </c>
      <c r="Q382" s="5" t="s">
        <v>504</v>
      </c>
      <c r="R382" s="5"/>
      <c r="S382" s="5"/>
      <c r="T382" s="10">
        <f t="shared" ca="1" si="19"/>
        <v>46059</v>
      </c>
      <c r="U382" s="5"/>
    </row>
    <row r="383" spans="1:21" ht="30" x14ac:dyDescent="0.25">
      <c r="A383" s="5" t="s">
        <v>498</v>
      </c>
      <c r="B383" s="5" t="s">
        <v>481</v>
      </c>
      <c r="C383" s="5" t="s">
        <v>397</v>
      </c>
      <c r="D383" s="5" t="str">
        <f>IF($C383="","",INDEX([4]PLAN_DESARROLLO!$B:$B,MATCH($C383,[4]PLAN_DESARROLLO!$A:$A,0)))</f>
        <v>2024257770033</v>
      </c>
      <c r="E383" s="5" t="str">
        <f>IF($C383="","",INDEX([4]PLAN_DESARROLLO!$C:$C,MATCH($C383,[4]PLAN_DESARROLLO!$A:$A,0)))</f>
        <v>POR EL SUPATÁ SOÑADO AVANZAMOS JUNTOS EN LA LÍNEA ESTRATÉGICA INSTITUCIONAL</v>
      </c>
      <c r="F383" s="5" t="str">
        <f>IF($C383="","",INDEX([4]PLAN_DESARROLLO!$D:$D,MATCH($C383,[4]PLAN_DESARROLLO!$A:$A,0)))</f>
        <v>DESARROLLO COMUNITARIO</v>
      </c>
      <c r="G383" s="5" t="str">
        <f>IF($C383="","",INDEX([4]PLAN_DESARROLLO!$E:$E,MATCH($C383,[4]PLAN_DESARROLLO!$A:$A,0)))</f>
        <v>Actualizar el plan integral de convivencia ciudadana</v>
      </c>
      <c r="H383" s="12">
        <v>1</v>
      </c>
      <c r="I383" s="12">
        <v>0</v>
      </c>
      <c r="J383" s="6">
        <f t="shared" si="17"/>
        <v>0</v>
      </c>
      <c r="K383" s="8">
        <v>0</v>
      </c>
      <c r="L383" s="8">
        <v>0</v>
      </c>
      <c r="M383" s="6">
        <f t="shared" si="18"/>
        <v>0</v>
      </c>
      <c r="N383" s="5" t="s">
        <v>694</v>
      </c>
      <c r="O383" s="5"/>
      <c r="P383" s="5" t="s">
        <v>495</v>
      </c>
      <c r="Q383" s="5" t="s">
        <v>504</v>
      </c>
      <c r="R383" s="5"/>
      <c r="S383" s="5"/>
      <c r="T383" s="10">
        <f t="shared" ca="1" si="19"/>
        <v>46059</v>
      </c>
      <c r="U383" s="5"/>
    </row>
    <row r="384" spans="1:21" ht="30" x14ac:dyDescent="0.25">
      <c r="A384" s="5" t="s">
        <v>498</v>
      </c>
      <c r="B384" s="5" t="s">
        <v>481</v>
      </c>
      <c r="C384" s="5" t="s">
        <v>400</v>
      </c>
      <c r="D384" s="5" t="str">
        <f>IF($C384="","",INDEX([4]PLAN_DESARROLLO!$B:$B,MATCH($C384,[4]PLAN_DESARROLLO!$A:$A,0)))</f>
        <v>2024257770033</v>
      </c>
      <c r="E384" s="5" t="str">
        <f>IF($C384="","",INDEX([4]PLAN_DESARROLLO!$C:$C,MATCH($C384,[4]PLAN_DESARROLLO!$A:$A,0)))</f>
        <v>POR EL SUPATÁ SOÑADO AVANZAMOS JUNTOS EN LA LÍNEA ESTRATÉGICA INSTITUCIONAL</v>
      </c>
      <c r="F384" s="5" t="str">
        <f>IF($C384="","",INDEX([4]PLAN_DESARROLLO!$D:$D,MATCH($C384,[4]PLAN_DESARROLLO!$A:$A,0)))</f>
        <v>DESARROLLO COMUNITARIO</v>
      </c>
      <c r="G384" s="5" t="str">
        <f>IF($C384="","",INDEX([4]PLAN_DESARROLLO!$E:$E,MATCH($C384,[4]PLAN_DESARROLLO!$A:$A,0)))</f>
        <v>Realizar (4) actividades que involucren temas de seguridad y colaboración.</v>
      </c>
      <c r="H384" s="12">
        <v>4</v>
      </c>
      <c r="I384" s="12">
        <v>1</v>
      </c>
      <c r="J384" s="6">
        <f t="shared" si="17"/>
        <v>0.25</v>
      </c>
      <c r="K384" s="8">
        <v>0</v>
      </c>
      <c r="L384" s="8">
        <v>0</v>
      </c>
      <c r="M384" s="6">
        <f t="shared" si="18"/>
        <v>0</v>
      </c>
      <c r="N384" s="5" t="s">
        <v>726</v>
      </c>
      <c r="O384" s="5"/>
      <c r="P384" s="5" t="s">
        <v>502</v>
      </c>
      <c r="Q384" s="5" t="s">
        <v>504</v>
      </c>
      <c r="R384" s="5"/>
      <c r="S384" s="5"/>
      <c r="T384" s="10">
        <f t="shared" ca="1" si="19"/>
        <v>46059</v>
      </c>
      <c r="U384" s="5"/>
    </row>
    <row r="385" spans="1:21" ht="30" x14ac:dyDescent="0.25">
      <c r="A385" s="5" t="s">
        <v>498</v>
      </c>
      <c r="B385" s="5" t="s">
        <v>481</v>
      </c>
      <c r="C385" s="5" t="s">
        <v>402</v>
      </c>
      <c r="D385" s="5" t="str">
        <f>IF($C385="","",INDEX([4]PLAN_DESARROLLO!$B:$B,MATCH($C385,[4]PLAN_DESARROLLO!$A:$A,0)))</f>
        <v>2024257770033</v>
      </c>
      <c r="E385" s="5" t="str">
        <f>IF($C385="","",INDEX([4]PLAN_DESARROLLO!$C:$C,MATCH($C385,[4]PLAN_DESARROLLO!$A:$A,0)))</f>
        <v>POR EL SUPATÁ SOÑADO AVANZAMOS JUNTOS EN LA LÍNEA ESTRATÉGICA INSTITUCIONAL</v>
      </c>
      <c r="F385" s="5" t="str">
        <f>IF($C385="","",INDEX([4]PLAN_DESARROLLO!$D:$D,MATCH($C385,[4]PLAN_DESARROLLO!$A:$A,0)))</f>
        <v>DESARROLLO COMUNITARIO</v>
      </c>
      <c r="G385" s="5" t="str">
        <f>IF($C385="","",INDEX([4]PLAN_DESARROLLO!$E:$E,MATCH($C385,[4]PLAN_DESARROLLO!$A:$A,0)))</f>
        <v>Realizar 4 asistencias tecnicas sobre prevención a violaciones de derechos humanos</v>
      </c>
      <c r="H385" s="12">
        <v>4</v>
      </c>
      <c r="I385" s="12">
        <v>1</v>
      </c>
      <c r="J385" s="6">
        <f t="shared" si="17"/>
        <v>0.25</v>
      </c>
      <c r="K385" s="8">
        <v>0</v>
      </c>
      <c r="L385" s="8">
        <v>0</v>
      </c>
      <c r="M385" s="6">
        <f t="shared" si="18"/>
        <v>0</v>
      </c>
      <c r="N385" s="5" t="s">
        <v>727</v>
      </c>
      <c r="O385" s="5"/>
      <c r="P385" s="5" t="s">
        <v>502</v>
      </c>
      <c r="Q385" s="5" t="s">
        <v>504</v>
      </c>
      <c r="R385" s="5"/>
      <c r="S385" s="5"/>
      <c r="T385" s="10">
        <f t="shared" ca="1" si="19"/>
        <v>46059</v>
      </c>
      <c r="U385" s="5"/>
    </row>
    <row r="386" spans="1:21" ht="60" x14ac:dyDescent="0.25">
      <c r="A386" s="5" t="s">
        <v>498</v>
      </c>
      <c r="B386" s="5" t="s">
        <v>481</v>
      </c>
      <c r="C386" s="5" t="s">
        <v>408</v>
      </c>
      <c r="D386" s="5" t="str">
        <f>IF($C386="","",INDEX([4]PLAN_DESARROLLO!$B:$B,MATCH($C386,[4]PLAN_DESARROLLO!$A:$A,0)))</f>
        <v>2024257770035</v>
      </c>
      <c r="E386" s="5" t="str">
        <f>IF($C386="","",INDEX([4]PLAN_DESARROLLO!$C:$C,MATCH($C386,[4]PLAN_DESARROLLO!$A:$A,0)))</f>
        <v>POR EL SUPATÁ SOÑADO AVANZAMOS JUNTOS EN LA LÍNEA ESTRATÉGICA INSTITUCIONAL</v>
      </c>
      <c r="F386" s="5" t="str">
        <f>IF($C386="","",INDEX([4]PLAN_DESARROLLO!$D:$D,MATCH($C386,[4]PLAN_DESARROLLO!$A:$A,0)))</f>
        <v>JUSTICIA Y SEGURIDAD CIUDADANA</v>
      </c>
      <c r="G386" s="5" t="str">
        <f>IF($C386="","",INDEX([4]PLAN_DESARROLLO!$E:$E,MATCH($C386,[4]PLAN_DESARROLLO!$A:$A,0)))</f>
        <v>fortalecer el grupo interdisciplinario de la comisaria de familia para Garantizar, proteger, restablecer y reparar los derechos de los miembros de la familia sgp libre destinacion 135millones + 15 m pro justicia familiar estampilla todos los años</v>
      </c>
      <c r="H386" s="12">
        <v>4</v>
      </c>
      <c r="I386" s="12">
        <v>1</v>
      </c>
      <c r="J386" s="6">
        <f t="shared" si="17"/>
        <v>0.25</v>
      </c>
      <c r="K386" s="8">
        <v>249346335</v>
      </c>
      <c r="L386" s="8">
        <v>249346335</v>
      </c>
      <c r="M386" s="6">
        <f t="shared" si="18"/>
        <v>1</v>
      </c>
      <c r="N386" s="5" t="s">
        <v>728</v>
      </c>
      <c r="O386" s="5" t="s">
        <v>500</v>
      </c>
      <c r="P386" s="5" t="s">
        <v>502</v>
      </c>
      <c r="Q386" s="5" t="s">
        <v>504</v>
      </c>
      <c r="R386" s="5"/>
      <c r="S386" s="5"/>
      <c r="T386" s="10">
        <f t="shared" ca="1" si="19"/>
        <v>46059</v>
      </c>
      <c r="U386" s="5"/>
    </row>
    <row r="387" spans="1:21" ht="30" x14ac:dyDescent="0.25">
      <c r="A387" s="5" t="s">
        <v>498</v>
      </c>
      <c r="B387" s="5" t="s">
        <v>481</v>
      </c>
      <c r="C387" s="5" t="s">
        <v>412</v>
      </c>
      <c r="D387" s="5" t="str">
        <f>IF($C387="","",INDEX([4]PLAN_DESARROLLO!$B:$B,MATCH($C387,[4]PLAN_DESARROLLO!$A:$A,0)))</f>
        <v>2024257770035</v>
      </c>
      <c r="E387" s="5" t="str">
        <f>IF($C387="","",INDEX([4]PLAN_DESARROLLO!$C:$C,MATCH($C387,[4]PLAN_DESARROLLO!$A:$A,0)))</f>
        <v>POR EL SUPATÁ SOÑADO AVANZAMOS JUNTOS EN LA LÍNEA ESTRATÉGICA INSTITUCIONAL</v>
      </c>
      <c r="F387" s="5" t="str">
        <f>IF($C387="","",INDEX([4]PLAN_DESARROLLO!$D:$D,MATCH($C387,[4]PLAN_DESARROLLO!$A:$A,0)))</f>
        <v>JUSTICIA Y SEGURIDAD CIUDADANA</v>
      </c>
      <c r="G387" s="5" t="str">
        <f>IF($C387="","",INDEX([4]PLAN_DESARROLLO!$E:$E,MATCH($C387,[4]PLAN_DESARROLLO!$A:$A,0)))</f>
        <v>Apoyar anualmente a la inspeccion de policia  90Millones SPG libre destinación todos los años auumentar 5% al año</v>
      </c>
      <c r="H387" s="12">
        <v>4</v>
      </c>
      <c r="I387" s="12">
        <v>1</v>
      </c>
      <c r="J387" s="6">
        <f t="shared" si="17"/>
        <v>0.25</v>
      </c>
      <c r="K387" s="8">
        <v>92893360</v>
      </c>
      <c r="L387" s="8">
        <v>92893360</v>
      </c>
      <c r="M387" s="6">
        <f t="shared" si="18"/>
        <v>1</v>
      </c>
      <c r="N387" s="5" t="s">
        <v>729</v>
      </c>
      <c r="O387" s="5" t="s">
        <v>500</v>
      </c>
      <c r="P387" s="5" t="s">
        <v>502</v>
      </c>
      <c r="Q387" s="5" t="s">
        <v>504</v>
      </c>
      <c r="R387" s="5"/>
      <c r="S387" s="5"/>
      <c r="T387" s="10">
        <f t="shared" ca="1" si="19"/>
        <v>46059</v>
      </c>
      <c r="U387" s="5"/>
    </row>
    <row r="388" spans="1:21" ht="30" x14ac:dyDescent="0.25">
      <c r="A388" s="5" t="s">
        <v>498</v>
      </c>
      <c r="B388" s="5" t="s">
        <v>481</v>
      </c>
      <c r="C388" s="5" t="s">
        <v>414</v>
      </c>
      <c r="D388" s="5" t="str">
        <f>IF($C388="","",INDEX([4]PLAN_DESARROLLO!$B:$B,MATCH($C388,[4]PLAN_DESARROLLO!$A:$A,0)))</f>
        <v>2024257770035</v>
      </c>
      <c r="E388" s="5" t="str">
        <f>IF($C388="","",INDEX([4]PLAN_DESARROLLO!$C:$C,MATCH($C388,[4]PLAN_DESARROLLO!$A:$A,0)))</f>
        <v>POR EL SUPATÁ SOÑADO AVANZAMOS JUNTOS EN LA LÍNEA ESTRATÉGICA INSTITUCIONAL</v>
      </c>
      <c r="F388" s="5" t="str">
        <f>IF($C388="","",INDEX([4]PLAN_DESARROLLO!$D:$D,MATCH($C388,[4]PLAN_DESARROLLO!$A:$A,0)))</f>
        <v>JUSTICIA Y SEGURIDAD CIUDADANA</v>
      </c>
      <c r="G388" s="5" t="str">
        <f>IF($C388="","",INDEX([4]PLAN_DESARROLLO!$E:$E,MATCH($C388,[4]PLAN_DESARROLLO!$A:$A,0)))</f>
        <v xml:space="preserve">Realizar (1) acción para la implementación de herramientas tecnologicas de seguridad  CAMARAS DE VIGILANCIA </v>
      </c>
      <c r="H388" s="12">
        <v>1</v>
      </c>
      <c r="I388" s="12">
        <v>0</v>
      </c>
      <c r="J388" s="6">
        <f t="shared" si="17"/>
        <v>0</v>
      </c>
      <c r="K388" s="8">
        <v>0</v>
      </c>
      <c r="L388" s="8">
        <v>0</v>
      </c>
      <c r="M388" s="6">
        <f t="shared" si="18"/>
        <v>0</v>
      </c>
      <c r="N388" s="5" t="s">
        <v>694</v>
      </c>
      <c r="O388" s="5"/>
      <c r="P388" s="5" t="s">
        <v>495</v>
      </c>
      <c r="Q388" s="5" t="s">
        <v>504</v>
      </c>
      <c r="R388" s="5"/>
      <c r="S388" s="5"/>
      <c r="T388" s="10">
        <f t="shared" ca="1" si="19"/>
        <v>46059</v>
      </c>
      <c r="U388" s="5"/>
    </row>
    <row r="389" spans="1:21" ht="30" x14ac:dyDescent="0.25">
      <c r="A389" s="5" t="s">
        <v>498</v>
      </c>
      <c r="B389" s="5" t="s">
        <v>481</v>
      </c>
      <c r="C389" s="5" t="s">
        <v>416</v>
      </c>
      <c r="D389" s="5" t="str">
        <f>IF($C389="","",INDEX([4]PLAN_DESARROLLO!$B:$B,MATCH($C389,[4]PLAN_DESARROLLO!$A:$A,0)))</f>
        <v>2024257770035</v>
      </c>
      <c r="E389" s="5" t="str">
        <f>IF($C389="","",INDEX([4]PLAN_DESARROLLO!$C:$C,MATCH($C389,[4]PLAN_DESARROLLO!$A:$A,0)))</f>
        <v>POR EL SUPATÁ SOÑADO AVANZAMOS JUNTOS EN LA LÍNEA ESTRATÉGICA INSTITUCIONAL</v>
      </c>
      <c r="F389" s="5" t="str">
        <f>IF($C389="","",INDEX([4]PLAN_DESARROLLO!$D:$D,MATCH($C389,[4]PLAN_DESARROLLO!$A:$A,0)))</f>
        <v>JUSTICIA Y SEGURIDAD CIUDADANA</v>
      </c>
      <c r="G389" s="5" t="str">
        <f>IF($C389="","",INDEX([4]PLAN_DESARROLLO!$E:$E,MATCH($C389,[4]PLAN_DESARROLLO!$A:$A,0)))</f>
        <v>Realizar 24 Consejos de Seguridad</v>
      </c>
      <c r="H389" s="12">
        <v>48</v>
      </c>
      <c r="I389" s="12">
        <v>12</v>
      </c>
      <c r="J389" s="6">
        <f t="shared" si="17"/>
        <v>0.25</v>
      </c>
      <c r="K389" s="8">
        <v>0</v>
      </c>
      <c r="L389" s="8">
        <v>0</v>
      </c>
      <c r="M389" s="6">
        <f t="shared" si="18"/>
        <v>0</v>
      </c>
      <c r="N389" s="5" t="s">
        <v>699</v>
      </c>
      <c r="O389" s="5"/>
      <c r="P389" s="5" t="s">
        <v>502</v>
      </c>
      <c r="Q389" s="5" t="s">
        <v>504</v>
      </c>
      <c r="R389" s="5"/>
      <c r="S389" s="5"/>
      <c r="T389" s="10">
        <f t="shared" ca="1" si="19"/>
        <v>46059</v>
      </c>
      <c r="U389" s="5"/>
    </row>
    <row r="390" spans="1:21" ht="30" x14ac:dyDescent="0.25">
      <c r="A390" s="5" t="s">
        <v>498</v>
      </c>
      <c r="B390" s="5" t="s">
        <v>481</v>
      </c>
      <c r="C390" s="5" t="s">
        <v>418</v>
      </c>
      <c r="D390" s="5" t="str">
        <f>IF($C390="","",INDEX([4]PLAN_DESARROLLO!$B:$B,MATCH($C390,[4]PLAN_DESARROLLO!$A:$A,0)))</f>
        <v>2024257770036</v>
      </c>
      <c r="E390" s="5" t="str">
        <f>IF($C390="","",INDEX([4]PLAN_DESARROLLO!$C:$C,MATCH($C390,[4]PLAN_DESARROLLO!$A:$A,0)))</f>
        <v>POR EL SUPATÁ SOÑADO AVANZAMOS JUNTOS EN LA LÍNEA ESTRATÉGICA INSTITUCIONAL</v>
      </c>
      <c r="F390" s="5" t="str">
        <f>IF($C390="","",INDEX([4]PLAN_DESARROLLO!$D:$D,MATCH($C390,[4]PLAN_DESARROLLO!$A:$A,0)))</f>
        <v>JUSTICIA Y SEGURIDAD CIUDADANA</v>
      </c>
      <c r="G390" s="5" t="str">
        <f>IF($C390="","",INDEX([4]PLAN_DESARROLLO!$E:$E,MATCH($C390,[4]PLAN_DESARROLLO!$A:$A,0)))</f>
        <v>Realizar cuatro (4) campañas para la prevención en material penal</v>
      </c>
      <c r="H390" s="12">
        <v>4</v>
      </c>
      <c r="I390" s="12">
        <v>1</v>
      </c>
      <c r="J390" s="6">
        <f t="shared" ref="J390:J393" si="20">IF(OR($H390="",$I390=""),"",IFERROR($I390/$H390,0))</f>
        <v>0.25</v>
      </c>
      <c r="K390" s="8">
        <v>0</v>
      </c>
      <c r="L390" s="8">
        <v>0</v>
      </c>
      <c r="M390" s="6">
        <f t="shared" ref="M390:M393" si="21">IF(OR($K390="",$L390=""),"",IFERROR($L390/$K390,0))</f>
        <v>0</v>
      </c>
      <c r="N390" s="5" t="s">
        <v>730</v>
      </c>
      <c r="O390" s="5"/>
      <c r="P390" s="5" t="s">
        <v>502</v>
      </c>
      <c r="Q390" s="5" t="s">
        <v>504</v>
      </c>
      <c r="R390" s="5"/>
      <c r="S390" s="5"/>
      <c r="T390" s="10">
        <f t="shared" ca="1" si="19"/>
        <v>46059</v>
      </c>
      <c r="U390" s="5"/>
    </row>
    <row r="391" spans="1:21" ht="30" x14ac:dyDescent="0.25">
      <c r="A391" s="5" t="s">
        <v>498</v>
      </c>
      <c r="B391" s="5" t="s">
        <v>481</v>
      </c>
      <c r="C391" s="5" t="s">
        <v>421</v>
      </c>
      <c r="D391" s="5" t="str">
        <f>IF($C391="","",INDEX([4]PLAN_DESARROLLO!$B:$B,MATCH($C391,[4]PLAN_DESARROLLO!$A:$A,0)))</f>
        <v>202500000008965</v>
      </c>
      <c r="E391" s="5" t="str">
        <f>IF($C391="","",INDEX([4]PLAN_DESARROLLO!$C:$C,MATCH($C391,[4]PLAN_DESARROLLO!$A:$A,0)))</f>
        <v>POR EL SUPATÁ SOÑADO AVANZAMOS JUNTOS EN LA LÍNEA ESTRATÉGICA INSTITUCIONAL</v>
      </c>
      <c r="F391" s="5" t="str">
        <f>IF($C391="","",INDEX([4]PLAN_DESARROLLO!$D:$D,MATCH($C391,[4]PLAN_DESARROLLO!$A:$A,0)))</f>
        <v>JUSTICIA Y SEGURIDAD CIUDADANA</v>
      </c>
      <c r="G391" s="5" t="str">
        <f>IF($C391="","",INDEX([4]PLAN_DESARROLLO!$E:$E,MATCH($C391,[4]PLAN_DESARROLLO!$A:$A,0)))</f>
        <v>Garantizar anualmente el suministro de alimentación a las personas privadas de la libertad</v>
      </c>
      <c r="H391" s="12">
        <v>4</v>
      </c>
      <c r="I391" s="12">
        <v>1</v>
      </c>
      <c r="J391" s="6">
        <f t="shared" si="20"/>
        <v>0.25</v>
      </c>
      <c r="K391" s="8">
        <v>3499100</v>
      </c>
      <c r="L391" s="8">
        <v>3499100</v>
      </c>
      <c r="M391" s="6">
        <f t="shared" si="21"/>
        <v>1</v>
      </c>
      <c r="N391" s="5" t="s">
        <v>731</v>
      </c>
      <c r="O391" s="5" t="s">
        <v>500</v>
      </c>
      <c r="P391" s="5" t="s">
        <v>502</v>
      </c>
      <c r="Q391" s="5" t="s">
        <v>504</v>
      </c>
      <c r="R391" s="5"/>
      <c r="S391" s="5"/>
      <c r="T391" s="10">
        <f t="shared" ca="1" si="19"/>
        <v>46059</v>
      </c>
      <c r="U391" s="5"/>
    </row>
    <row r="392" spans="1:21" ht="30" x14ac:dyDescent="0.25">
      <c r="A392" s="5" t="s">
        <v>498</v>
      </c>
      <c r="B392" s="5" t="s">
        <v>481</v>
      </c>
      <c r="C392" s="5" t="s">
        <v>424</v>
      </c>
      <c r="D392" s="5" t="str">
        <f>IF($C392="","",INDEX([4]PLAN_DESARROLLO!$B:$B,MATCH($C392,[4]PLAN_DESARROLLO!$A:$A,0)))</f>
        <v>202500000008965</v>
      </c>
      <c r="E392" s="5" t="str">
        <f>IF($C392="","",INDEX([4]PLAN_DESARROLLO!$C:$C,MATCH($C392,[4]PLAN_DESARROLLO!$A:$A,0)))</f>
        <v>POR EL SUPATÁ SOÑADO AVANZAMOS JUNTOS EN LA LÍNEA ESTRATÉGICA INSTITUCIONAL</v>
      </c>
      <c r="F392" s="5" t="str">
        <f>IF($C392="","",INDEX([4]PLAN_DESARROLLO!$D:$D,MATCH($C392,[4]PLAN_DESARROLLO!$A:$A,0)))</f>
        <v>JUSTICIA Y SEGURIDAD CIUDADANA</v>
      </c>
      <c r="G392" s="5" t="str">
        <f>IF($C392="","",INDEX([4]PLAN_DESARROLLO!$E:$E,MATCH($C392,[4]PLAN_DESARROLLO!$A:$A,0)))</f>
        <v>Fortalecer anualmente el funcionamiento de las fuerzas publicas con los recursos del fonde de seguridad</v>
      </c>
      <c r="H392" s="12">
        <v>4</v>
      </c>
      <c r="I392" s="12">
        <v>1</v>
      </c>
      <c r="J392" s="6">
        <f t="shared" si="20"/>
        <v>0.25</v>
      </c>
      <c r="K392" s="8">
        <v>16619129</v>
      </c>
      <c r="L392" s="8">
        <v>16619129</v>
      </c>
      <c r="M392" s="6">
        <f t="shared" si="21"/>
        <v>1</v>
      </c>
      <c r="N392" s="5" t="s">
        <v>732</v>
      </c>
      <c r="O392" s="5" t="s">
        <v>514</v>
      </c>
      <c r="P392" s="5" t="s">
        <v>502</v>
      </c>
      <c r="Q392" s="5" t="s">
        <v>504</v>
      </c>
      <c r="R392" s="5"/>
      <c r="S392" s="5"/>
      <c r="T392" s="10">
        <f t="shared" ca="1" si="19"/>
        <v>46059</v>
      </c>
      <c r="U392" s="5"/>
    </row>
    <row r="393" spans="1:21" ht="30" x14ac:dyDescent="0.25">
      <c r="A393" s="5" t="s">
        <v>498</v>
      </c>
      <c r="B393" s="5" t="s">
        <v>481</v>
      </c>
      <c r="C393" s="5" t="s">
        <v>426</v>
      </c>
      <c r="D393" s="5" t="str">
        <f>IF($C393="","",INDEX([4]PLAN_DESARROLLO!$B:$B,MATCH($C393,[4]PLAN_DESARROLLO!$A:$A,0)))</f>
        <v>202500000008965</v>
      </c>
      <c r="E393" s="5" t="str">
        <f>IF($C393="","",INDEX([4]PLAN_DESARROLLO!$C:$C,MATCH($C393,[4]PLAN_DESARROLLO!$A:$A,0)))</f>
        <v>POR EL SUPATÁ SOÑADO AVANZAMOS JUNTOS EN LA LÍNEA ESTRATÉGICA INSTITUCIONAL</v>
      </c>
      <c r="F393" s="5" t="str">
        <f>IF($C393="","",INDEX([4]PLAN_DESARROLLO!$D:$D,MATCH($C393,[4]PLAN_DESARROLLO!$A:$A,0)))</f>
        <v>JUSTICIA Y SEGURIDAD CIUDADANA</v>
      </c>
      <c r="G393" s="5" t="str">
        <f>IF($C393="","",INDEX([4]PLAN_DESARROLLO!$E:$E,MATCH($C393,[4]PLAN_DESARROLLO!$A:$A,0)))</f>
        <v>Realizar (1) convenio anual con el Inpec de conformidad con los lineamientos establecidos de la ley 10 millones sgp libre inversion</v>
      </c>
      <c r="H393" s="12">
        <v>4</v>
      </c>
      <c r="I393" s="12">
        <v>1</v>
      </c>
      <c r="J393" s="6">
        <f t="shared" si="20"/>
        <v>0.25</v>
      </c>
      <c r="K393" s="8">
        <v>20000000</v>
      </c>
      <c r="L393" s="8">
        <v>20000000</v>
      </c>
      <c r="M393" s="6">
        <f t="shared" si="21"/>
        <v>1</v>
      </c>
      <c r="N393" s="5" t="s">
        <v>733</v>
      </c>
      <c r="O393" s="5" t="s">
        <v>500</v>
      </c>
      <c r="P393" s="5" t="s">
        <v>502</v>
      </c>
      <c r="Q393" s="5" t="s">
        <v>504</v>
      </c>
      <c r="R393" s="5"/>
      <c r="S393" s="5"/>
      <c r="T393" s="10">
        <f t="shared" ca="1" si="19"/>
        <v>46059</v>
      </c>
      <c r="U393" s="5"/>
    </row>
    <row r="394" spans="1:21" x14ac:dyDescent="0.25">
      <c r="A394" s="5"/>
      <c r="B394" s="5"/>
      <c r="C394" s="5"/>
      <c r="D394" s="5" t="str">
        <f>IF($C394="","",INDEX(PLAN_DESARROLLO!$B:$B,MATCH($C394,PLAN_DESARROLLO!$A:$A,0)))</f>
        <v/>
      </c>
      <c r="E394" s="5" t="str">
        <f>IF($C394="","",INDEX(PLAN_DESARROLLO!$C:$C,MATCH($C394,PLAN_DESARROLLO!$A:$A,0)))</f>
        <v/>
      </c>
      <c r="F394" s="5" t="str">
        <f>IF($C394="","",INDEX(PLAN_DESARROLLO!$D:$D,MATCH($C394,PLAN_DESARROLLO!$A:$A,0)))</f>
        <v/>
      </c>
      <c r="G394" s="5" t="str">
        <f>IF($C394="","",INDEX(PLAN_DESARROLLO!$E:$E,MATCH($C394,PLAN_DESARROLLO!$A:$A,0)))</f>
        <v/>
      </c>
      <c r="H394" s="12"/>
      <c r="I394" s="12"/>
      <c r="J394" s="6" t="str">
        <f t="shared" ref="J360:J423" si="22">IF(OR($H394="",$I394=""),"",IFERROR($I394/$H394,0))</f>
        <v/>
      </c>
      <c r="K394" s="8"/>
      <c r="L394" s="8"/>
      <c r="M394" s="6" t="str">
        <f t="shared" ref="M360:M423" si="23">IF(OR($K394="",$L394=""),"",IFERROR($L394/$K394,0))</f>
        <v/>
      </c>
      <c r="N394" s="5"/>
      <c r="O394" s="5"/>
      <c r="P394" s="5"/>
      <c r="Q394" s="5"/>
      <c r="R394" s="5"/>
      <c r="S394" s="5"/>
      <c r="T394" s="10" t="str">
        <f t="shared" ref="T360:T423" ca="1" si="24">IF($A394="","",TODAY())</f>
        <v/>
      </c>
      <c r="U394" s="5"/>
    </row>
    <row r="395" spans="1:21" x14ac:dyDescent="0.25">
      <c r="A395" s="5"/>
      <c r="B395" s="5"/>
      <c r="C395" s="5"/>
      <c r="D395" s="5" t="str">
        <f>IF($C395="","",INDEX(PLAN_DESARROLLO!$B:$B,MATCH($C395,PLAN_DESARROLLO!$A:$A,0)))</f>
        <v/>
      </c>
      <c r="E395" s="5" t="str">
        <f>IF($C395="","",INDEX(PLAN_DESARROLLO!$C:$C,MATCH($C395,PLAN_DESARROLLO!$A:$A,0)))</f>
        <v/>
      </c>
      <c r="F395" s="5" t="str">
        <f>IF($C395="","",INDEX(PLAN_DESARROLLO!$D:$D,MATCH($C395,PLAN_DESARROLLO!$A:$A,0)))</f>
        <v/>
      </c>
      <c r="G395" s="5" t="str">
        <f>IF($C395="","",INDEX(PLAN_DESARROLLO!$E:$E,MATCH($C395,PLAN_DESARROLLO!$A:$A,0)))</f>
        <v/>
      </c>
      <c r="H395" s="12"/>
      <c r="I395" s="12"/>
      <c r="J395" s="6" t="str">
        <f t="shared" si="22"/>
        <v/>
      </c>
      <c r="K395" s="8"/>
      <c r="L395" s="8"/>
      <c r="M395" s="6" t="str">
        <f t="shared" si="23"/>
        <v/>
      </c>
      <c r="N395" s="5"/>
      <c r="O395" s="5"/>
      <c r="P395" s="5"/>
      <c r="Q395" s="5"/>
      <c r="R395" s="5"/>
      <c r="S395" s="5"/>
      <c r="T395" s="10" t="str">
        <f t="shared" ca="1" si="24"/>
        <v/>
      </c>
      <c r="U395" s="5"/>
    </row>
    <row r="396" spans="1:21" x14ac:dyDescent="0.25">
      <c r="A396" s="5"/>
      <c r="B396" s="5"/>
      <c r="C396" s="5"/>
      <c r="D396" s="5" t="str">
        <f>IF($C396="","",INDEX(PLAN_DESARROLLO!$B:$B,MATCH($C396,PLAN_DESARROLLO!$A:$A,0)))</f>
        <v/>
      </c>
      <c r="E396" s="5" t="str">
        <f>IF($C396="","",INDEX(PLAN_DESARROLLO!$C:$C,MATCH($C396,PLAN_DESARROLLO!$A:$A,0)))</f>
        <v/>
      </c>
      <c r="F396" s="5" t="str">
        <f>IF($C396="","",INDEX(PLAN_DESARROLLO!$D:$D,MATCH($C396,PLAN_DESARROLLO!$A:$A,0)))</f>
        <v/>
      </c>
      <c r="G396" s="5" t="str">
        <f>IF($C396="","",INDEX(PLAN_DESARROLLO!$E:$E,MATCH($C396,PLAN_DESARROLLO!$A:$A,0)))</f>
        <v/>
      </c>
      <c r="H396" s="12"/>
      <c r="I396" s="12"/>
      <c r="J396" s="6" t="str">
        <f t="shared" si="22"/>
        <v/>
      </c>
      <c r="K396" s="8"/>
      <c r="L396" s="8"/>
      <c r="M396" s="6" t="str">
        <f t="shared" si="23"/>
        <v/>
      </c>
      <c r="N396" s="5"/>
      <c r="O396" s="5"/>
      <c r="P396" s="5"/>
      <c r="Q396" s="5"/>
      <c r="R396" s="5"/>
      <c r="S396" s="5"/>
      <c r="T396" s="10" t="str">
        <f t="shared" ca="1" si="24"/>
        <v/>
      </c>
      <c r="U396" s="5"/>
    </row>
    <row r="397" spans="1:21" x14ac:dyDescent="0.25">
      <c r="A397" s="5"/>
      <c r="B397" s="5"/>
      <c r="C397" s="5"/>
      <c r="D397" s="5" t="str">
        <f>IF($C397="","",INDEX(PLAN_DESARROLLO!$B:$B,MATCH($C397,PLAN_DESARROLLO!$A:$A,0)))</f>
        <v/>
      </c>
      <c r="E397" s="5" t="str">
        <f>IF($C397="","",INDEX(PLAN_DESARROLLO!$C:$C,MATCH($C397,PLAN_DESARROLLO!$A:$A,0)))</f>
        <v/>
      </c>
      <c r="F397" s="5" t="str">
        <f>IF($C397="","",INDEX(PLAN_DESARROLLO!$D:$D,MATCH($C397,PLAN_DESARROLLO!$A:$A,0)))</f>
        <v/>
      </c>
      <c r="G397" s="5" t="str">
        <f>IF($C397="","",INDEX(PLAN_DESARROLLO!$E:$E,MATCH($C397,PLAN_DESARROLLO!$A:$A,0)))</f>
        <v/>
      </c>
      <c r="H397" s="12"/>
      <c r="I397" s="12"/>
      <c r="J397" s="6" t="str">
        <f t="shared" si="22"/>
        <v/>
      </c>
      <c r="K397" s="8"/>
      <c r="L397" s="8"/>
      <c r="M397" s="6" t="str">
        <f t="shared" si="23"/>
        <v/>
      </c>
      <c r="N397" s="5"/>
      <c r="O397" s="5"/>
      <c r="P397" s="5"/>
      <c r="Q397" s="5"/>
      <c r="R397" s="5"/>
      <c r="S397" s="5"/>
      <c r="T397" s="10" t="str">
        <f t="shared" ca="1" si="24"/>
        <v/>
      </c>
      <c r="U397" s="5"/>
    </row>
    <row r="398" spans="1:21" x14ac:dyDescent="0.25">
      <c r="A398" s="5"/>
      <c r="B398" s="5"/>
      <c r="C398" s="5"/>
      <c r="D398" s="5" t="str">
        <f>IF($C398="","",INDEX(PLAN_DESARROLLO!$B:$B,MATCH($C398,PLAN_DESARROLLO!$A:$A,0)))</f>
        <v/>
      </c>
      <c r="E398" s="5" t="str">
        <f>IF($C398="","",INDEX(PLAN_DESARROLLO!$C:$C,MATCH($C398,PLAN_DESARROLLO!$A:$A,0)))</f>
        <v/>
      </c>
      <c r="F398" s="5" t="str">
        <f>IF($C398="","",INDEX(PLAN_DESARROLLO!$D:$D,MATCH($C398,PLAN_DESARROLLO!$A:$A,0)))</f>
        <v/>
      </c>
      <c r="G398" s="5" t="str">
        <f>IF($C398="","",INDEX(PLAN_DESARROLLO!$E:$E,MATCH($C398,PLAN_DESARROLLO!$A:$A,0)))</f>
        <v/>
      </c>
      <c r="H398" s="12"/>
      <c r="I398" s="12"/>
      <c r="J398" s="6" t="str">
        <f t="shared" si="22"/>
        <v/>
      </c>
      <c r="K398" s="8"/>
      <c r="L398" s="8"/>
      <c r="M398" s="6" t="str">
        <f t="shared" si="23"/>
        <v/>
      </c>
      <c r="N398" s="5"/>
      <c r="O398" s="5"/>
      <c r="P398" s="5"/>
      <c r="Q398" s="5"/>
      <c r="R398" s="5"/>
      <c r="S398" s="5"/>
      <c r="T398" s="10" t="str">
        <f t="shared" ca="1" si="24"/>
        <v/>
      </c>
      <c r="U398" s="5"/>
    </row>
    <row r="399" spans="1:21" x14ac:dyDescent="0.25">
      <c r="A399" s="5"/>
      <c r="B399" s="5"/>
      <c r="C399" s="5"/>
      <c r="D399" s="5" t="str">
        <f>IF($C399="","",INDEX(PLAN_DESARROLLO!$B:$B,MATCH($C399,PLAN_DESARROLLO!$A:$A,0)))</f>
        <v/>
      </c>
      <c r="E399" s="5" t="str">
        <f>IF($C399="","",INDEX(PLAN_DESARROLLO!$C:$C,MATCH($C399,PLAN_DESARROLLO!$A:$A,0)))</f>
        <v/>
      </c>
      <c r="F399" s="5" t="str">
        <f>IF($C399="","",INDEX(PLAN_DESARROLLO!$D:$D,MATCH($C399,PLAN_DESARROLLO!$A:$A,0)))</f>
        <v/>
      </c>
      <c r="G399" s="5" t="str">
        <f>IF($C399="","",INDEX(PLAN_DESARROLLO!$E:$E,MATCH($C399,PLAN_DESARROLLO!$A:$A,0)))</f>
        <v/>
      </c>
      <c r="H399" s="12"/>
      <c r="I399" s="12"/>
      <c r="J399" s="6" t="str">
        <f t="shared" si="22"/>
        <v/>
      </c>
      <c r="K399" s="8"/>
      <c r="L399" s="8"/>
      <c r="M399" s="6" t="str">
        <f t="shared" si="23"/>
        <v/>
      </c>
      <c r="N399" s="5"/>
      <c r="O399" s="5"/>
      <c r="P399" s="5"/>
      <c r="Q399" s="5"/>
      <c r="R399" s="5"/>
      <c r="S399" s="5"/>
      <c r="T399" s="10" t="str">
        <f t="shared" ca="1" si="24"/>
        <v/>
      </c>
      <c r="U399" s="5"/>
    </row>
    <row r="400" spans="1:21" x14ac:dyDescent="0.25">
      <c r="A400" s="5"/>
      <c r="B400" s="5"/>
      <c r="C400" s="5"/>
      <c r="D400" s="5" t="str">
        <f>IF($C400="","",INDEX(PLAN_DESARROLLO!$B:$B,MATCH($C400,PLAN_DESARROLLO!$A:$A,0)))</f>
        <v/>
      </c>
      <c r="E400" s="5" t="str">
        <f>IF($C400="","",INDEX(PLAN_DESARROLLO!$C:$C,MATCH($C400,PLAN_DESARROLLO!$A:$A,0)))</f>
        <v/>
      </c>
      <c r="F400" s="5" t="str">
        <f>IF($C400="","",INDEX(PLAN_DESARROLLO!$D:$D,MATCH($C400,PLAN_DESARROLLO!$A:$A,0)))</f>
        <v/>
      </c>
      <c r="G400" s="5" t="str">
        <f>IF($C400="","",INDEX(PLAN_DESARROLLO!$E:$E,MATCH($C400,PLAN_DESARROLLO!$A:$A,0)))</f>
        <v/>
      </c>
      <c r="H400" s="12"/>
      <c r="I400" s="12"/>
      <c r="J400" s="6" t="str">
        <f t="shared" si="22"/>
        <v/>
      </c>
      <c r="K400" s="8"/>
      <c r="L400" s="8"/>
      <c r="M400" s="6" t="str">
        <f t="shared" si="23"/>
        <v/>
      </c>
      <c r="N400" s="5"/>
      <c r="O400" s="5"/>
      <c r="P400" s="5"/>
      <c r="Q400" s="5"/>
      <c r="R400" s="5"/>
      <c r="S400" s="5"/>
      <c r="T400" s="10" t="str">
        <f t="shared" ca="1" si="24"/>
        <v/>
      </c>
      <c r="U400" s="5"/>
    </row>
    <row r="401" spans="1:21" x14ac:dyDescent="0.25">
      <c r="A401" s="5"/>
      <c r="B401" s="5"/>
      <c r="C401" s="5"/>
      <c r="D401" s="5" t="str">
        <f>IF($C401="","",INDEX(PLAN_DESARROLLO!$B:$B,MATCH($C401,PLAN_DESARROLLO!$A:$A,0)))</f>
        <v/>
      </c>
      <c r="E401" s="5" t="str">
        <f>IF($C401="","",INDEX(PLAN_DESARROLLO!$C:$C,MATCH($C401,PLAN_DESARROLLO!$A:$A,0)))</f>
        <v/>
      </c>
      <c r="F401" s="5" t="str">
        <f>IF($C401="","",INDEX(PLAN_DESARROLLO!$D:$D,MATCH($C401,PLAN_DESARROLLO!$A:$A,0)))</f>
        <v/>
      </c>
      <c r="G401" s="5" t="str">
        <f>IF($C401="","",INDEX(PLAN_DESARROLLO!$E:$E,MATCH($C401,PLAN_DESARROLLO!$A:$A,0)))</f>
        <v/>
      </c>
      <c r="H401" s="12"/>
      <c r="I401" s="12"/>
      <c r="J401" s="6" t="str">
        <f t="shared" si="22"/>
        <v/>
      </c>
      <c r="K401" s="8"/>
      <c r="L401" s="8"/>
      <c r="M401" s="6" t="str">
        <f t="shared" si="23"/>
        <v/>
      </c>
      <c r="N401" s="5"/>
      <c r="O401" s="5"/>
      <c r="P401" s="5"/>
      <c r="Q401" s="5"/>
      <c r="R401" s="5"/>
      <c r="S401" s="5"/>
      <c r="T401" s="10" t="str">
        <f t="shared" ca="1" si="24"/>
        <v/>
      </c>
      <c r="U401" s="5"/>
    </row>
    <row r="402" spans="1:21" x14ac:dyDescent="0.25">
      <c r="A402" s="5"/>
      <c r="B402" s="5"/>
      <c r="C402" s="5"/>
      <c r="D402" s="5" t="str">
        <f>IF($C402="","",INDEX(PLAN_DESARROLLO!$B:$B,MATCH($C402,PLAN_DESARROLLO!$A:$A,0)))</f>
        <v/>
      </c>
      <c r="E402" s="5" t="str">
        <f>IF($C402="","",INDEX(PLAN_DESARROLLO!$C:$C,MATCH($C402,PLAN_DESARROLLO!$A:$A,0)))</f>
        <v/>
      </c>
      <c r="F402" s="5" t="str">
        <f>IF($C402="","",INDEX(PLAN_DESARROLLO!$D:$D,MATCH($C402,PLAN_DESARROLLO!$A:$A,0)))</f>
        <v/>
      </c>
      <c r="G402" s="5" t="str">
        <f>IF($C402="","",INDEX(PLAN_DESARROLLO!$E:$E,MATCH($C402,PLAN_DESARROLLO!$A:$A,0)))</f>
        <v/>
      </c>
      <c r="H402" s="12"/>
      <c r="I402" s="12"/>
      <c r="J402" s="6" t="str">
        <f t="shared" si="22"/>
        <v/>
      </c>
      <c r="K402" s="8"/>
      <c r="L402" s="8"/>
      <c r="M402" s="6" t="str">
        <f t="shared" si="23"/>
        <v/>
      </c>
      <c r="N402" s="5"/>
      <c r="O402" s="5"/>
      <c r="P402" s="5"/>
      <c r="Q402" s="5"/>
      <c r="R402" s="5"/>
      <c r="S402" s="5"/>
      <c r="T402" s="10" t="str">
        <f t="shared" ca="1" si="24"/>
        <v/>
      </c>
      <c r="U402" s="5"/>
    </row>
    <row r="403" spans="1:21" x14ac:dyDescent="0.25">
      <c r="A403" s="5"/>
      <c r="B403" s="5"/>
      <c r="C403" s="5"/>
      <c r="D403" s="5" t="str">
        <f>IF($C403="","",INDEX(PLAN_DESARROLLO!$B:$B,MATCH($C403,PLAN_DESARROLLO!$A:$A,0)))</f>
        <v/>
      </c>
      <c r="E403" s="5" t="str">
        <f>IF($C403="","",INDEX(PLAN_DESARROLLO!$C:$C,MATCH($C403,PLAN_DESARROLLO!$A:$A,0)))</f>
        <v/>
      </c>
      <c r="F403" s="5" t="str">
        <f>IF($C403="","",INDEX(PLAN_DESARROLLO!$D:$D,MATCH($C403,PLAN_DESARROLLO!$A:$A,0)))</f>
        <v/>
      </c>
      <c r="G403" s="5" t="str">
        <f>IF($C403="","",INDEX(PLAN_DESARROLLO!$E:$E,MATCH($C403,PLAN_DESARROLLO!$A:$A,0)))</f>
        <v/>
      </c>
      <c r="H403" s="12"/>
      <c r="I403" s="12"/>
      <c r="J403" s="6" t="str">
        <f t="shared" si="22"/>
        <v/>
      </c>
      <c r="K403" s="8"/>
      <c r="L403" s="8"/>
      <c r="M403" s="6" t="str">
        <f t="shared" si="23"/>
        <v/>
      </c>
      <c r="N403" s="5"/>
      <c r="O403" s="5"/>
      <c r="P403" s="5"/>
      <c r="Q403" s="5"/>
      <c r="R403" s="5"/>
      <c r="S403" s="5"/>
      <c r="T403" s="10" t="str">
        <f t="shared" ca="1" si="24"/>
        <v/>
      </c>
      <c r="U403" s="5"/>
    </row>
    <row r="404" spans="1:21" x14ac:dyDescent="0.25">
      <c r="A404" s="5"/>
      <c r="B404" s="5"/>
      <c r="C404" s="5"/>
      <c r="D404" s="5" t="str">
        <f>IF($C404="","",INDEX(PLAN_DESARROLLO!$B:$B,MATCH($C404,PLAN_DESARROLLO!$A:$A,0)))</f>
        <v/>
      </c>
      <c r="E404" s="5" t="str">
        <f>IF($C404="","",INDEX(PLAN_DESARROLLO!$C:$C,MATCH($C404,PLAN_DESARROLLO!$A:$A,0)))</f>
        <v/>
      </c>
      <c r="F404" s="5" t="str">
        <f>IF($C404="","",INDEX(PLAN_DESARROLLO!$D:$D,MATCH($C404,PLAN_DESARROLLO!$A:$A,0)))</f>
        <v/>
      </c>
      <c r="G404" s="5" t="str">
        <f>IF($C404="","",INDEX(PLAN_DESARROLLO!$E:$E,MATCH($C404,PLAN_DESARROLLO!$A:$A,0)))</f>
        <v/>
      </c>
      <c r="H404" s="12"/>
      <c r="I404" s="12"/>
      <c r="J404" s="6" t="str">
        <f t="shared" si="22"/>
        <v/>
      </c>
      <c r="K404" s="8"/>
      <c r="L404" s="8"/>
      <c r="M404" s="6" t="str">
        <f t="shared" si="23"/>
        <v/>
      </c>
      <c r="N404" s="5"/>
      <c r="O404" s="5"/>
      <c r="P404" s="5"/>
      <c r="Q404" s="5"/>
      <c r="R404" s="5"/>
      <c r="S404" s="5"/>
      <c r="T404" s="10" t="str">
        <f t="shared" ca="1" si="24"/>
        <v/>
      </c>
      <c r="U404" s="5"/>
    </row>
    <row r="405" spans="1:21" x14ac:dyDescent="0.25">
      <c r="A405" s="5"/>
      <c r="B405" s="5"/>
      <c r="C405" s="5"/>
      <c r="D405" s="5" t="str">
        <f>IF($C405="","",INDEX(PLAN_DESARROLLO!$B:$B,MATCH($C405,PLAN_DESARROLLO!$A:$A,0)))</f>
        <v/>
      </c>
      <c r="E405" s="5" t="str">
        <f>IF($C405="","",INDEX(PLAN_DESARROLLO!$C:$C,MATCH($C405,PLAN_DESARROLLO!$A:$A,0)))</f>
        <v/>
      </c>
      <c r="F405" s="5" t="str">
        <f>IF($C405="","",INDEX(PLAN_DESARROLLO!$D:$D,MATCH($C405,PLAN_DESARROLLO!$A:$A,0)))</f>
        <v/>
      </c>
      <c r="G405" s="5" t="str">
        <f>IF($C405="","",INDEX(PLAN_DESARROLLO!$E:$E,MATCH($C405,PLAN_DESARROLLO!$A:$A,0)))</f>
        <v/>
      </c>
      <c r="H405" s="12"/>
      <c r="I405" s="12"/>
      <c r="J405" s="6" t="str">
        <f t="shared" si="22"/>
        <v/>
      </c>
      <c r="K405" s="8"/>
      <c r="L405" s="8"/>
      <c r="M405" s="6" t="str">
        <f t="shared" si="23"/>
        <v/>
      </c>
      <c r="N405" s="5"/>
      <c r="O405" s="5"/>
      <c r="P405" s="5"/>
      <c r="Q405" s="5"/>
      <c r="R405" s="5"/>
      <c r="S405" s="5"/>
      <c r="T405" s="10" t="str">
        <f t="shared" ca="1" si="24"/>
        <v/>
      </c>
      <c r="U405" s="5"/>
    </row>
    <row r="406" spans="1:21" x14ac:dyDescent="0.25">
      <c r="A406" s="5"/>
      <c r="B406" s="5"/>
      <c r="C406" s="5"/>
      <c r="D406" s="5" t="str">
        <f>IF($C406="","",INDEX(PLAN_DESARROLLO!$B:$B,MATCH($C406,PLAN_DESARROLLO!$A:$A,0)))</f>
        <v/>
      </c>
      <c r="E406" s="5" t="str">
        <f>IF($C406="","",INDEX(PLAN_DESARROLLO!$C:$C,MATCH($C406,PLAN_DESARROLLO!$A:$A,0)))</f>
        <v/>
      </c>
      <c r="F406" s="5" t="str">
        <f>IF($C406="","",INDEX(PLAN_DESARROLLO!$D:$D,MATCH($C406,PLAN_DESARROLLO!$A:$A,0)))</f>
        <v/>
      </c>
      <c r="G406" s="5" t="str">
        <f>IF($C406="","",INDEX(PLAN_DESARROLLO!$E:$E,MATCH($C406,PLAN_DESARROLLO!$A:$A,0)))</f>
        <v/>
      </c>
      <c r="H406" s="12"/>
      <c r="I406" s="12"/>
      <c r="J406" s="6" t="str">
        <f t="shared" si="22"/>
        <v/>
      </c>
      <c r="K406" s="8"/>
      <c r="L406" s="8"/>
      <c r="M406" s="6" t="str">
        <f t="shared" si="23"/>
        <v/>
      </c>
      <c r="N406" s="5"/>
      <c r="O406" s="5"/>
      <c r="P406" s="5"/>
      <c r="Q406" s="5"/>
      <c r="R406" s="5"/>
      <c r="S406" s="5"/>
      <c r="T406" s="10" t="str">
        <f t="shared" ca="1" si="24"/>
        <v/>
      </c>
      <c r="U406" s="5"/>
    </row>
    <row r="407" spans="1:21" x14ac:dyDescent="0.25">
      <c r="A407" s="5"/>
      <c r="B407" s="5"/>
      <c r="C407" s="5"/>
      <c r="D407" s="5" t="str">
        <f>IF($C407="","",INDEX(PLAN_DESARROLLO!$B:$B,MATCH($C407,PLAN_DESARROLLO!$A:$A,0)))</f>
        <v/>
      </c>
      <c r="E407" s="5" t="str">
        <f>IF($C407="","",INDEX(PLAN_DESARROLLO!$C:$C,MATCH($C407,PLAN_DESARROLLO!$A:$A,0)))</f>
        <v/>
      </c>
      <c r="F407" s="5" t="str">
        <f>IF($C407="","",INDEX(PLAN_DESARROLLO!$D:$D,MATCH($C407,PLAN_DESARROLLO!$A:$A,0)))</f>
        <v/>
      </c>
      <c r="G407" s="5" t="str">
        <f>IF($C407="","",INDEX(PLAN_DESARROLLO!$E:$E,MATCH($C407,PLAN_DESARROLLO!$A:$A,0)))</f>
        <v/>
      </c>
      <c r="H407" s="12"/>
      <c r="I407" s="12"/>
      <c r="J407" s="6" t="str">
        <f t="shared" si="22"/>
        <v/>
      </c>
      <c r="K407" s="8"/>
      <c r="L407" s="8"/>
      <c r="M407" s="6" t="str">
        <f t="shared" si="23"/>
        <v/>
      </c>
      <c r="N407" s="5"/>
      <c r="O407" s="5"/>
      <c r="P407" s="5"/>
      <c r="Q407" s="5"/>
      <c r="R407" s="5"/>
      <c r="S407" s="5"/>
      <c r="T407" s="10" t="str">
        <f t="shared" ca="1" si="24"/>
        <v/>
      </c>
      <c r="U407" s="5"/>
    </row>
    <row r="408" spans="1:21" x14ac:dyDescent="0.25">
      <c r="A408" s="5"/>
      <c r="B408" s="5"/>
      <c r="C408" s="5"/>
      <c r="D408" s="5" t="str">
        <f>IF($C408="","",INDEX(PLAN_DESARROLLO!$B:$B,MATCH($C408,PLAN_DESARROLLO!$A:$A,0)))</f>
        <v/>
      </c>
      <c r="E408" s="5" t="str">
        <f>IF($C408="","",INDEX(PLAN_DESARROLLO!$C:$C,MATCH($C408,PLAN_DESARROLLO!$A:$A,0)))</f>
        <v/>
      </c>
      <c r="F408" s="5" t="str">
        <f>IF($C408="","",INDEX(PLAN_DESARROLLO!$D:$D,MATCH($C408,PLAN_DESARROLLO!$A:$A,0)))</f>
        <v/>
      </c>
      <c r="G408" s="5" t="str">
        <f>IF($C408="","",INDEX(PLAN_DESARROLLO!$E:$E,MATCH($C408,PLAN_DESARROLLO!$A:$A,0)))</f>
        <v/>
      </c>
      <c r="H408" s="12"/>
      <c r="I408" s="12"/>
      <c r="J408" s="6" t="str">
        <f t="shared" si="22"/>
        <v/>
      </c>
      <c r="K408" s="8"/>
      <c r="L408" s="8"/>
      <c r="M408" s="6" t="str">
        <f t="shared" si="23"/>
        <v/>
      </c>
      <c r="N408" s="5"/>
      <c r="O408" s="5"/>
      <c r="P408" s="5"/>
      <c r="Q408" s="5"/>
      <c r="R408" s="5"/>
      <c r="S408" s="5"/>
      <c r="T408" s="10" t="str">
        <f t="shared" ca="1" si="24"/>
        <v/>
      </c>
      <c r="U408" s="5"/>
    </row>
    <row r="409" spans="1:21" x14ac:dyDescent="0.25">
      <c r="A409" s="5"/>
      <c r="B409" s="5"/>
      <c r="C409" s="5"/>
      <c r="D409" s="5" t="str">
        <f>IF($C409="","",INDEX(PLAN_DESARROLLO!$B:$B,MATCH($C409,PLAN_DESARROLLO!$A:$A,0)))</f>
        <v/>
      </c>
      <c r="E409" s="5" t="str">
        <f>IF($C409="","",INDEX(PLAN_DESARROLLO!$C:$C,MATCH($C409,PLAN_DESARROLLO!$A:$A,0)))</f>
        <v/>
      </c>
      <c r="F409" s="5" t="str">
        <f>IF($C409="","",INDEX(PLAN_DESARROLLO!$D:$D,MATCH($C409,PLAN_DESARROLLO!$A:$A,0)))</f>
        <v/>
      </c>
      <c r="G409" s="5" t="str">
        <f>IF($C409="","",INDEX(PLAN_DESARROLLO!$E:$E,MATCH($C409,PLAN_DESARROLLO!$A:$A,0)))</f>
        <v/>
      </c>
      <c r="H409" s="12"/>
      <c r="I409" s="12"/>
      <c r="J409" s="6" t="str">
        <f t="shared" si="22"/>
        <v/>
      </c>
      <c r="K409" s="8"/>
      <c r="L409" s="8"/>
      <c r="M409" s="6" t="str">
        <f t="shared" si="23"/>
        <v/>
      </c>
      <c r="N409" s="5"/>
      <c r="O409" s="5"/>
      <c r="P409" s="5"/>
      <c r="Q409" s="5"/>
      <c r="R409" s="5"/>
      <c r="S409" s="5"/>
      <c r="T409" s="10" t="str">
        <f t="shared" ca="1" si="24"/>
        <v/>
      </c>
      <c r="U409" s="5"/>
    </row>
    <row r="410" spans="1:21" x14ac:dyDescent="0.25">
      <c r="A410" s="5"/>
      <c r="B410" s="5"/>
      <c r="C410" s="5"/>
      <c r="D410" s="5" t="str">
        <f>IF($C410="","",INDEX(PLAN_DESARROLLO!$B:$B,MATCH($C410,PLAN_DESARROLLO!$A:$A,0)))</f>
        <v/>
      </c>
      <c r="E410" s="5" t="str">
        <f>IF($C410="","",INDEX(PLAN_DESARROLLO!$C:$C,MATCH($C410,PLAN_DESARROLLO!$A:$A,0)))</f>
        <v/>
      </c>
      <c r="F410" s="5" t="str">
        <f>IF($C410="","",INDEX(PLAN_DESARROLLO!$D:$D,MATCH($C410,PLAN_DESARROLLO!$A:$A,0)))</f>
        <v/>
      </c>
      <c r="G410" s="5" t="str">
        <f>IF($C410="","",INDEX(PLAN_DESARROLLO!$E:$E,MATCH($C410,PLAN_DESARROLLO!$A:$A,0)))</f>
        <v/>
      </c>
      <c r="H410" s="12"/>
      <c r="I410" s="12"/>
      <c r="J410" s="6" t="str">
        <f t="shared" si="22"/>
        <v/>
      </c>
      <c r="K410" s="8"/>
      <c r="L410" s="8"/>
      <c r="M410" s="6" t="str">
        <f t="shared" si="23"/>
        <v/>
      </c>
      <c r="N410" s="5"/>
      <c r="O410" s="5"/>
      <c r="P410" s="5"/>
      <c r="Q410" s="5"/>
      <c r="R410" s="5"/>
      <c r="S410" s="5"/>
      <c r="T410" s="10" t="str">
        <f t="shared" ca="1" si="24"/>
        <v/>
      </c>
      <c r="U410" s="5"/>
    </row>
    <row r="411" spans="1:21" x14ac:dyDescent="0.25">
      <c r="A411" s="5"/>
      <c r="B411" s="5"/>
      <c r="C411" s="5"/>
      <c r="D411" s="5" t="str">
        <f>IF($C411="","",INDEX(PLAN_DESARROLLO!$B:$B,MATCH($C411,PLAN_DESARROLLO!$A:$A,0)))</f>
        <v/>
      </c>
      <c r="E411" s="5" t="str">
        <f>IF($C411="","",INDEX(PLAN_DESARROLLO!$C:$C,MATCH($C411,PLAN_DESARROLLO!$A:$A,0)))</f>
        <v/>
      </c>
      <c r="F411" s="5" t="str">
        <f>IF($C411="","",INDEX(PLAN_DESARROLLO!$D:$D,MATCH($C411,PLAN_DESARROLLO!$A:$A,0)))</f>
        <v/>
      </c>
      <c r="G411" s="5" t="str">
        <f>IF($C411="","",INDEX(PLAN_DESARROLLO!$E:$E,MATCH($C411,PLAN_DESARROLLO!$A:$A,0)))</f>
        <v/>
      </c>
      <c r="H411" s="12"/>
      <c r="I411" s="12"/>
      <c r="J411" s="6" t="str">
        <f t="shared" si="22"/>
        <v/>
      </c>
      <c r="K411" s="8"/>
      <c r="L411" s="8"/>
      <c r="M411" s="6" t="str">
        <f t="shared" si="23"/>
        <v/>
      </c>
      <c r="N411" s="5"/>
      <c r="O411" s="5"/>
      <c r="P411" s="5"/>
      <c r="Q411" s="5"/>
      <c r="R411" s="5"/>
      <c r="S411" s="5"/>
      <c r="T411" s="10" t="str">
        <f t="shared" ca="1" si="24"/>
        <v/>
      </c>
      <c r="U411" s="5"/>
    </row>
    <row r="412" spans="1:21" x14ac:dyDescent="0.25">
      <c r="A412" s="5"/>
      <c r="B412" s="5"/>
      <c r="C412" s="5"/>
      <c r="D412" s="5" t="str">
        <f>IF($C412="","",INDEX(PLAN_DESARROLLO!$B:$B,MATCH($C412,PLAN_DESARROLLO!$A:$A,0)))</f>
        <v/>
      </c>
      <c r="E412" s="5" t="str">
        <f>IF($C412="","",INDEX(PLAN_DESARROLLO!$C:$C,MATCH($C412,PLAN_DESARROLLO!$A:$A,0)))</f>
        <v/>
      </c>
      <c r="F412" s="5" t="str">
        <f>IF($C412="","",INDEX(PLAN_DESARROLLO!$D:$D,MATCH($C412,PLAN_DESARROLLO!$A:$A,0)))</f>
        <v/>
      </c>
      <c r="G412" s="5" t="str">
        <f>IF($C412="","",INDEX(PLAN_DESARROLLO!$E:$E,MATCH($C412,PLAN_DESARROLLO!$A:$A,0)))</f>
        <v/>
      </c>
      <c r="H412" s="12"/>
      <c r="I412" s="12"/>
      <c r="J412" s="6" t="str">
        <f t="shared" si="22"/>
        <v/>
      </c>
      <c r="K412" s="8"/>
      <c r="L412" s="8"/>
      <c r="M412" s="6" t="str">
        <f t="shared" si="23"/>
        <v/>
      </c>
      <c r="N412" s="5"/>
      <c r="O412" s="5"/>
      <c r="P412" s="5"/>
      <c r="Q412" s="5"/>
      <c r="R412" s="5"/>
      <c r="S412" s="5"/>
      <c r="T412" s="10" t="str">
        <f t="shared" ca="1" si="24"/>
        <v/>
      </c>
      <c r="U412" s="5"/>
    </row>
    <row r="413" spans="1:21" x14ac:dyDescent="0.25">
      <c r="A413" s="5"/>
      <c r="B413" s="5"/>
      <c r="C413" s="5"/>
      <c r="D413" s="5" t="str">
        <f>IF($C413="","",INDEX(PLAN_DESARROLLO!$B:$B,MATCH($C413,PLAN_DESARROLLO!$A:$A,0)))</f>
        <v/>
      </c>
      <c r="E413" s="5" t="str">
        <f>IF($C413="","",INDEX(PLAN_DESARROLLO!$C:$C,MATCH($C413,PLAN_DESARROLLO!$A:$A,0)))</f>
        <v/>
      </c>
      <c r="F413" s="5" t="str">
        <f>IF($C413="","",INDEX(PLAN_DESARROLLO!$D:$D,MATCH($C413,PLAN_DESARROLLO!$A:$A,0)))</f>
        <v/>
      </c>
      <c r="G413" s="5" t="str">
        <f>IF($C413="","",INDEX(PLAN_DESARROLLO!$E:$E,MATCH($C413,PLAN_DESARROLLO!$A:$A,0)))</f>
        <v/>
      </c>
      <c r="H413" s="12"/>
      <c r="I413" s="12"/>
      <c r="J413" s="6" t="str">
        <f t="shared" si="22"/>
        <v/>
      </c>
      <c r="K413" s="8"/>
      <c r="L413" s="8"/>
      <c r="M413" s="6" t="str">
        <f t="shared" si="23"/>
        <v/>
      </c>
      <c r="N413" s="5"/>
      <c r="O413" s="5"/>
      <c r="P413" s="5"/>
      <c r="Q413" s="5"/>
      <c r="R413" s="5"/>
      <c r="S413" s="5"/>
      <c r="T413" s="10" t="str">
        <f t="shared" ca="1" si="24"/>
        <v/>
      </c>
      <c r="U413" s="5"/>
    </row>
    <row r="414" spans="1:21" x14ac:dyDescent="0.25">
      <c r="A414" s="5"/>
      <c r="B414" s="5"/>
      <c r="C414" s="5"/>
      <c r="D414" s="5" t="str">
        <f>IF($C414="","",INDEX(PLAN_DESARROLLO!$B:$B,MATCH($C414,PLAN_DESARROLLO!$A:$A,0)))</f>
        <v/>
      </c>
      <c r="E414" s="5" t="str">
        <f>IF($C414="","",INDEX(PLAN_DESARROLLO!$C:$C,MATCH($C414,PLAN_DESARROLLO!$A:$A,0)))</f>
        <v/>
      </c>
      <c r="F414" s="5" t="str">
        <f>IF($C414="","",INDEX(PLAN_DESARROLLO!$D:$D,MATCH($C414,PLAN_DESARROLLO!$A:$A,0)))</f>
        <v/>
      </c>
      <c r="G414" s="5" t="str">
        <f>IF($C414="","",INDEX(PLAN_DESARROLLO!$E:$E,MATCH($C414,PLAN_DESARROLLO!$A:$A,0)))</f>
        <v/>
      </c>
      <c r="H414" s="12"/>
      <c r="I414" s="12"/>
      <c r="J414" s="6" t="str">
        <f t="shared" si="22"/>
        <v/>
      </c>
      <c r="K414" s="8"/>
      <c r="L414" s="8"/>
      <c r="M414" s="6" t="str">
        <f t="shared" si="23"/>
        <v/>
      </c>
      <c r="N414" s="5"/>
      <c r="O414" s="5"/>
      <c r="P414" s="5"/>
      <c r="Q414" s="5"/>
      <c r="R414" s="5"/>
      <c r="S414" s="5"/>
      <c r="T414" s="10" t="str">
        <f t="shared" ca="1" si="24"/>
        <v/>
      </c>
      <c r="U414" s="5"/>
    </row>
    <row r="415" spans="1:21" x14ac:dyDescent="0.25">
      <c r="A415" s="5"/>
      <c r="B415" s="5"/>
      <c r="C415" s="5"/>
      <c r="D415" s="5" t="str">
        <f>IF($C415="","",INDEX(PLAN_DESARROLLO!$B:$B,MATCH($C415,PLAN_DESARROLLO!$A:$A,0)))</f>
        <v/>
      </c>
      <c r="E415" s="5" t="str">
        <f>IF($C415="","",INDEX(PLAN_DESARROLLO!$C:$C,MATCH($C415,PLAN_DESARROLLO!$A:$A,0)))</f>
        <v/>
      </c>
      <c r="F415" s="5" t="str">
        <f>IF($C415="","",INDEX(PLAN_DESARROLLO!$D:$D,MATCH($C415,PLAN_DESARROLLO!$A:$A,0)))</f>
        <v/>
      </c>
      <c r="G415" s="5" t="str">
        <f>IF($C415="","",INDEX(PLAN_DESARROLLO!$E:$E,MATCH($C415,PLAN_DESARROLLO!$A:$A,0)))</f>
        <v/>
      </c>
      <c r="H415" s="12"/>
      <c r="I415" s="12"/>
      <c r="J415" s="6" t="str">
        <f t="shared" si="22"/>
        <v/>
      </c>
      <c r="K415" s="8"/>
      <c r="L415" s="8"/>
      <c r="M415" s="6" t="str">
        <f t="shared" si="23"/>
        <v/>
      </c>
      <c r="N415" s="5"/>
      <c r="O415" s="5"/>
      <c r="P415" s="5"/>
      <c r="Q415" s="5"/>
      <c r="R415" s="5"/>
      <c r="S415" s="5"/>
      <c r="T415" s="10" t="str">
        <f t="shared" ca="1" si="24"/>
        <v/>
      </c>
      <c r="U415" s="5"/>
    </row>
    <row r="416" spans="1:21" x14ac:dyDescent="0.25">
      <c r="A416" s="5"/>
      <c r="B416" s="5"/>
      <c r="C416" s="5"/>
      <c r="D416" s="5" t="str">
        <f>IF($C416="","",INDEX(PLAN_DESARROLLO!$B:$B,MATCH($C416,PLAN_DESARROLLO!$A:$A,0)))</f>
        <v/>
      </c>
      <c r="E416" s="5" t="str">
        <f>IF($C416="","",INDEX(PLAN_DESARROLLO!$C:$C,MATCH($C416,PLAN_DESARROLLO!$A:$A,0)))</f>
        <v/>
      </c>
      <c r="F416" s="5" t="str">
        <f>IF($C416="","",INDEX(PLAN_DESARROLLO!$D:$D,MATCH($C416,PLAN_DESARROLLO!$A:$A,0)))</f>
        <v/>
      </c>
      <c r="G416" s="5" t="str">
        <f>IF($C416="","",INDEX(PLAN_DESARROLLO!$E:$E,MATCH($C416,PLAN_DESARROLLO!$A:$A,0)))</f>
        <v/>
      </c>
      <c r="H416" s="12"/>
      <c r="I416" s="12"/>
      <c r="J416" s="6" t="str">
        <f t="shared" si="22"/>
        <v/>
      </c>
      <c r="K416" s="8"/>
      <c r="L416" s="8"/>
      <c r="M416" s="6" t="str">
        <f t="shared" si="23"/>
        <v/>
      </c>
      <c r="N416" s="5"/>
      <c r="O416" s="5"/>
      <c r="P416" s="5"/>
      <c r="Q416" s="5"/>
      <c r="R416" s="5"/>
      <c r="S416" s="5"/>
      <c r="T416" s="10" t="str">
        <f t="shared" ca="1" si="24"/>
        <v/>
      </c>
      <c r="U416" s="5"/>
    </row>
    <row r="417" spans="1:21" x14ac:dyDescent="0.25">
      <c r="A417" s="5"/>
      <c r="B417" s="5"/>
      <c r="C417" s="5"/>
      <c r="D417" s="5" t="str">
        <f>IF($C417="","",INDEX(PLAN_DESARROLLO!$B:$B,MATCH($C417,PLAN_DESARROLLO!$A:$A,0)))</f>
        <v/>
      </c>
      <c r="E417" s="5" t="str">
        <f>IF($C417="","",INDEX(PLAN_DESARROLLO!$C:$C,MATCH($C417,PLAN_DESARROLLO!$A:$A,0)))</f>
        <v/>
      </c>
      <c r="F417" s="5" t="str">
        <f>IF($C417="","",INDEX(PLAN_DESARROLLO!$D:$D,MATCH($C417,PLAN_DESARROLLO!$A:$A,0)))</f>
        <v/>
      </c>
      <c r="G417" s="5" t="str">
        <f>IF($C417="","",INDEX(PLAN_DESARROLLO!$E:$E,MATCH($C417,PLAN_DESARROLLO!$A:$A,0)))</f>
        <v/>
      </c>
      <c r="H417" s="12"/>
      <c r="I417" s="12"/>
      <c r="J417" s="6" t="str">
        <f t="shared" si="22"/>
        <v/>
      </c>
      <c r="K417" s="8"/>
      <c r="L417" s="8"/>
      <c r="M417" s="6" t="str">
        <f t="shared" si="23"/>
        <v/>
      </c>
      <c r="N417" s="5"/>
      <c r="O417" s="5"/>
      <c r="P417" s="5"/>
      <c r="Q417" s="5"/>
      <c r="R417" s="5"/>
      <c r="S417" s="5"/>
      <c r="T417" s="10" t="str">
        <f t="shared" ca="1" si="24"/>
        <v/>
      </c>
      <c r="U417" s="5"/>
    </row>
    <row r="418" spans="1:21" x14ac:dyDescent="0.25">
      <c r="A418" s="5"/>
      <c r="B418" s="5"/>
      <c r="C418" s="5"/>
      <c r="D418" s="5" t="str">
        <f>IF($C418="","",INDEX(PLAN_DESARROLLO!$B:$B,MATCH($C418,PLAN_DESARROLLO!$A:$A,0)))</f>
        <v/>
      </c>
      <c r="E418" s="5" t="str">
        <f>IF($C418="","",INDEX(PLAN_DESARROLLO!$C:$C,MATCH($C418,PLAN_DESARROLLO!$A:$A,0)))</f>
        <v/>
      </c>
      <c r="F418" s="5" t="str">
        <f>IF($C418="","",INDEX(PLAN_DESARROLLO!$D:$D,MATCH($C418,PLAN_DESARROLLO!$A:$A,0)))</f>
        <v/>
      </c>
      <c r="G418" s="5" t="str">
        <f>IF($C418="","",INDEX(PLAN_DESARROLLO!$E:$E,MATCH($C418,PLAN_DESARROLLO!$A:$A,0)))</f>
        <v/>
      </c>
      <c r="H418" s="12"/>
      <c r="I418" s="12"/>
      <c r="J418" s="6" t="str">
        <f t="shared" si="22"/>
        <v/>
      </c>
      <c r="K418" s="8"/>
      <c r="L418" s="8"/>
      <c r="M418" s="6" t="str">
        <f t="shared" si="23"/>
        <v/>
      </c>
      <c r="N418" s="5"/>
      <c r="O418" s="5"/>
      <c r="P418" s="5"/>
      <c r="Q418" s="5"/>
      <c r="R418" s="5"/>
      <c r="S418" s="5"/>
      <c r="T418" s="10" t="str">
        <f t="shared" ca="1" si="24"/>
        <v/>
      </c>
      <c r="U418" s="5"/>
    </row>
    <row r="419" spans="1:21" x14ac:dyDescent="0.25">
      <c r="A419" s="5"/>
      <c r="B419" s="5"/>
      <c r="C419" s="5"/>
      <c r="D419" s="5" t="str">
        <f>IF($C419="","",INDEX(PLAN_DESARROLLO!$B:$B,MATCH($C419,PLAN_DESARROLLO!$A:$A,0)))</f>
        <v/>
      </c>
      <c r="E419" s="5" t="str">
        <f>IF($C419="","",INDEX(PLAN_DESARROLLO!$C:$C,MATCH($C419,PLAN_DESARROLLO!$A:$A,0)))</f>
        <v/>
      </c>
      <c r="F419" s="5" t="str">
        <f>IF($C419="","",INDEX(PLAN_DESARROLLO!$D:$D,MATCH($C419,PLAN_DESARROLLO!$A:$A,0)))</f>
        <v/>
      </c>
      <c r="G419" s="5" t="str">
        <f>IF($C419="","",INDEX(PLAN_DESARROLLO!$E:$E,MATCH($C419,PLAN_DESARROLLO!$A:$A,0)))</f>
        <v/>
      </c>
      <c r="H419" s="12"/>
      <c r="I419" s="12"/>
      <c r="J419" s="6" t="str">
        <f t="shared" si="22"/>
        <v/>
      </c>
      <c r="K419" s="8"/>
      <c r="L419" s="8"/>
      <c r="M419" s="6" t="str">
        <f t="shared" si="23"/>
        <v/>
      </c>
      <c r="N419" s="5"/>
      <c r="O419" s="5"/>
      <c r="P419" s="5"/>
      <c r="Q419" s="5"/>
      <c r="R419" s="5"/>
      <c r="S419" s="5"/>
      <c r="T419" s="10" t="str">
        <f t="shared" ca="1" si="24"/>
        <v/>
      </c>
      <c r="U419" s="5"/>
    </row>
    <row r="420" spans="1:21" x14ac:dyDescent="0.25">
      <c r="A420" s="5"/>
      <c r="B420" s="5"/>
      <c r="C420" s="5"/>
      <c r="D420" s="5" t="str">
        <f>IF($C420="","",INDEX(PLAN_DESARROLLO!$B:$B,MATCH($C420,PLAN_DESARROLLO!$A:$A,0)))</f>
        <v/>
      </c>
      <c r="E420" s="5" t="str">
        <f>IF($C420="","",INDEX(PLAN_DESARROLLO!$C:$C,MATCH($C420,PLAN_DESARROLLO!$A:$A,0)))</f>
        <v/>
      </c>
      <c r="F420" s="5" t="str">
        <f>IF($C420="","",INDEX(PLAN_DESARROLLO!$D:$D,MATCH($C420,PLAN_DESARROLLO!$A:$A,0)))</f>
        <v/>
      </c>
      <c r="G420" s="5" t="str">
        <f>IF($C420="","",INDEX(PLAN_DESARROLLO!$E:$E,MATCH($C420,PLAN_DESARROLLO!$A:$A,0)))</f>
        <v/>
      </c>
      <c r="H420" s="12"/>
      <c r="I420" s="12"/>
      <c r="J420" s="6" t="str">
        <f t="shared" si="22"/>
        <v/>
      </c>
      <c r="K420" s="8"/>
      <c r="L420" s="8"/>
      <c r="M420" s="6" t="str">
        <f t="shared" si="23"/>
        <v/>
      </c>
      <c r="N420" s="5"/>
      <c r="O420" s="5"/>
      <c r="P420" s="5"/>
      <c r="Q420" s="5"/>
      <c r="R420" s="5"/>
      <c r="S420" s="5"/>
      <c r="T420" s="10" t="str">
        <f t="shared" ca="1" si="24"/>
        <v/>
      </c>
      <c r="U420" s="5"/>
    </row>
    <row r="421" spans="1:21" x14ac:dyDescent="0.25">
      <c r="A421" s="5"/>
      <c r="B421" s="5"/>
      <c r="C421" s="5"/>
      <c r="D421" s="5" t="str">
        <f>IF($C421="","",INDEX(PLAN_DESARROLLO!$B:$B,MATCH($C421,PLAN_DESARROLLO!$A:$A,0)))</f>
        <v/>
      </c>
      <c r="E421" s="5" t="str">
        <f>IF($C421="","",INDEX(PLAN_DESARROLLO!$C:$C,MATCH($C421,PLAN_DESARROLLO!$A:$A,0)))</f>
        <v/>
      </c>
      <c r="F421" s="5" t="str">
        <f>IF($C421="","",INDEX(PLAN_DESARROLLO!$D:$D,MATCH($C421,PLAN_DESARROLLO!$A:$A,0)))</f>
        <v/>
      </c>
      <c r="G421" s="5" t="str">
        <f>IF($C421="","",INDEX(PLAN_DESARROLLO!$E:$E,MATCH($C421,PLAN_DESARROLLO!$A:$A,0)))</f>
        <v/>
      </c>
      <c r="H421" s="12"/>
      <c r="I421" s="12"/>
      <c r="J421" s="6" t="str">
        <f t="shared" si="22"/>
        <v/>
      </c>
      <c r="K421" s="8"/>
      <c r="L421" s="8"/>
      <c r="M421" s="6" t="str">
        <f t="shared" si="23"/>
        <v/>
      </c>
      <c r="N421" s="5"/>
      <c r="O421" s="5"/>
      <c r="P421" s="5"/>
      <c r="Q421" s="5"/>
      <c r="R421" s="5"/>
      <c r="S421" s="5"/>
      <c r="T421" s="10" t="str">
        <f t="shared" ca="1" si="24"/>
        <v/>
      </c>
      <c r="U421" s="5"/>
    </row>
    <row r="422" spans="1:21" x14ac:dyDescent="0.25">
      <c r="A422" s="5"/>
      <c r="B422" s="5"/>
      <c r="C422" s="5"/>
      <c r="D422" s="5" t="str">
        <f>IF($C422="","",INDEX(PLAN_DESARROLLO!$B:$B,MATCH($C422,PLAN_DESARROLLO!$A:$A,0)))</f>
        <v/>
      </c>
      <c r="E422" s="5" t="str">
        <f>IF($C422="","",INDEX(PLAN_DESARROLLO!$C:$C,MATCH($C422,PLAN_DESARROLLO!$A:$A,0)))</f>
        <v/>
      </c>
      <c r="F422" s="5" t="str">
        <f>IF($C422="","",INDEX(PLAN_DESARROLLO!$D:$D,MATCH($C422,PLAN_DESARROLLO!$A:$A,0)))</f>
        <v/>
      </c>
      <c r="G422" s="5" t="str">
        <f>IF($C422="","",INDEX(PLAN_DESARROLLO!$E:$E,MATCH($C422,PLAN_DESARROLLO!$A:$A,0)))</f>
        <v/>
      </c>
      <c r="H422" s="12"/>
      <c r="I422" s="12"/>
      <c r="J422" s="6" t="str">
        <f t="shared" si="22"/>
        <v/>
      </c>
      <c r="K422" s="8"/>
      <c r="L422" s="8"/>
      <c r="M422" s="6" t="str">
        <f t="shared" si="23"/>
        <v/>
      </c>
      <c r="N422" s="5"/>
      <c r="O422" s="5"/>
      <c r="P422" s="5"/>
      <c r="Q422" s="5"/>
      <c r="R422" s="5"/>
      <c r="S422" s="5"/>
      <c r="T422" s="10" t="str">
        <f t="shared" ca="1" si="24"/>
        <v/>
      </c>
      <c r="U422" s="5"/>
    </row>
    <row r="423" spans="1:21" x14ac:dyDescent="0.25">
      <c r="A423" s="5"/>
      <c r="B423" s="5"/>
      <c r="C423" s="5"/>
      <c r="D423" s="5" t="str">
        <f>IF($C423="","",INDEX(PLAN_DESARROLLO!$B:$B,MATCH($C423,PLAN_DESARROLLO!$A:$A,0)))</f>
        <v/>
      </c>
      <c r="E423" s="5" t="str">
        <f>IF($C423="","",INDEX(PLAN_DESARROLLO!$C:$C,MATCH($C423,PLAN_DESARROLLO!$A:$A,0)))</f>
        <v/>
      </c>
      <c r="F423" s="5" t="str">
        <f>IF($C423="","",INDEX(PLAN_DESARROLLO!$D:$D,MATCH($C423,PLAN_DESARROLLO!$A:$A,0)))</f>
        <v/>
      </c>
      <c r="G423" s="5" t="str">
        <f>IF($C423="","",INDEX(PLAN_DESARROLLO!$E:$E,MATCH($C423,PLAN_DESARROLLO!$A:$A,0)))</f>
        <v/>
      </c>
      <c r="H423" s="12"/>
      <c r="I423" s="12"/>
      <c r="J423" s="6" t="str">
        <f t="shared" si="22"/>
        <v/>
      </c>
      <c r="K423" s="8"/>
      <c r="L423" s="8"/>
      <c r="M423" s="6" t="str">
        <f t="shared" si="23"/>
        <v/>
      </c>
      <c r="N423" s="5"/>
      <c r="O423" s="5"/>
      <c r="P423" s="5"/>
      <c r="Q423" s="5"/>
      <c r="R423" s="5"/>
      <c r="S423" s="5"/>
      <c r="T423" s="10" t="str">
        <f t="shared" ca="1" si="24"/>
        <v/>
      </c>
      <c r="U423" s="5"/>
    </row>
    <row r="424" spans="1:21" x14ac:dyDescent="0.25">
      <c r="A424" s="5"/>
      <c r="B424" s="5"/>
      <c r="C424" s="5"/>
      <c r="D424" s="5" t="str">
        <f>IF($C424="","",INDEX(PLAN_DESARROLLO!$B:$B,MATCH($C424,PLAN_DESARROLLO!$A:$A,0)))</f>
        <v/>
      </c>
      <c r="E424" s="5" t="str">
        <f>IF($C424="","",INDEX(PLAN_DESARROLLO!$C:$C,MATCH($C424,PLAN_DESARROLLO!$A:$A,0)))</f>
        <v/>
      </c>
      <c r="F424" s="5" t="str">
        <f>IF($C424="","",INDEX(PLAN_DESARROLLO!$D:$D,MATCH($C424,PLAN_DESARROLLO!$A:$A,0)))</f>
        <v/>
      </c>
      <c r="G424" s="5" t="str">
        <f>IF($C424="","",INDEX(PLAN_DESARROLLO!$E:$E,MATCH($C424,PLAN_DESARROLLO!$A:$A,0)))</f>
        <v/>
      </c>
      <c r="H424" s="12"/>
      <c r="I424" s="12"/>
      <c r="J424" s="6" t="str">
        <f t="shared" ref="J424:J474" si="25">IF(OR($H424="",$I424=""),"",IFERROR($I424/$H424,0))</f>
        <v/>
      </c>
      <c r="K424" s="8"/>
      <c r="L424" s="8"/>
      <c r="M424" s="6" t="str">
        <f t="shared" ref="M424:M474" si="26">IF(OR($K424="",$L424=""),"",IFERROR($L424/$K424,0))</f>
        <v/>
      </c>
      <c r="N424" s="5"/>
      <c r="O424" s="5"/>
      <c r="P424" s="5"/>
      <c r="Q424" s="5"/>
      <c r="R424" s="5"/>
      <c r="S424" s="5"/>
      <c r="T424" s="10" t="str">
        <f t="shared" ref="T424:T474" ca="1" si="27">IF($A424="","",TODAY())</f>
        <v/>
      </c>
      <c r="U424" s="5"/>
    </row>
    <row r="425" spans="1:21" x14ac:dyDescent="0.25">
      <c r="A425" s="5"/>
      <c r="B425" s="5"/>
      <c r="C425" s="5"/>
      <c r="D425" s="5" t="str">
        <f>IF($C425="","",INDEX(PLAN_DESARROLLO!$B:$B,MATCH($C425,PLAN_DESARROLLO!$A:$A,0)))</f>
        <v/>
      </c>
      <c r="E425" s="5" t="str">
        <f>IF($C425="","",INDEX(PLAN_DESARROLLO!$C:$C,MATCH($C425,PLAN_DESARROLLO!$A:$A,0)))</f>
        <v/>
      </c>
      <c r="F425" s="5" t="str">
        <f>IF($C425="","",INDEX(PLAN_DESARROLLO!$D:$D,MATCH($C425,PLAN_DESARROLLO!$A:$A,0)))</f>
        <v/>
      </c>
      <c r="G425" s="5" t="str">
        <f>IF($C425="","",INDEX(PLAN_DESARROLLO!$E:$E,MATCH($C425,PLAN_DESARROLLO!$A:$A,0)))</f>
        <v/>
      </c>
      <c r="H425" s="12"/>
      <c r="I425" s="12"/>
      <c r="J425" s="6" t="str">
        <f t="shared" si="25"/>
        <v/>
      </c>
      <c r="K425" s="8"/>
      <c r="L425" s="8"/>
      <c r="M425" s="6" t="str">
        <f t="shared" si="26"/>
        <v/>
      </c>
      <c r="N425" s="5"/>
      <c r="O425" s="5"/>
      <c r="P425" s="5"/>
      <c r="Q425" s="5"/>
      <c r="R425" s="5"/>
      <c r="S425" s="5"/>
      <c r="T425" s="10" t="str">
        <f t="shared" ca="1" si="27"/>
        <v/>
      </c>
      <c r="U425" s="5"/>
    </row>
    <row r="426" spans="1:21" x14ac:dyDescent="0.25">
      <c r="A426" s="5"/>
      <c r="B426" s="5"/>
      <c r="C426" s="5"/>
      <c r="D426" s="5" t="str">
        <f>IF($C426="","",INDEX(PLAN_DESARROLLO!$B:$B,MATCH($C426,PLAN_DESARROLLO!$A:$A,0)))</f>
        <v/>
      </c>
      <c r="E426" s="5" t="str">
        <f>IF($C426="","",INDEX(PLAN_DESARROLLO!$C:$C,MATCH($C426,PLAN_DESARROLLO!$A:$A,0)))</f>
        <v/>
      </c>
      <c r="F426" s="5" t="str">
        <f>IF($C426="","",INDEX(PLAN_DESARROLLO!$D:$D,MATCH($C426,PLAN_DESARROLLO!$A:$A,0)))</f>
        <v/>
      </c>
      <c r="G426" s="5" t="str">
        <f>IF($C426="","",INDEX(PLAN_DESARROLLO!$E:$E,MATCH($C426,PLAN_DESARROLLO!$A:$A,0)))</f>
        <v/>
      </c>
      <c r="H426" s="12"/>
      <c r="I426" s="12"/>
      <c r="J426" s="6" t="str">
        <f t="shared" si="25"/>
        <v/>
      </c>
      <c r="K426" s="8"/>
      <c r="L426" s="8"/>
      <c r="M426" s="6" t="str">
        <f t="shared" si="26"/>
        <v/>
      </c>
      <c r="N426" s="5"/>
      <c r="O426" s="5"/>
      <c r="P426" s="5"/>
      <c r="Q426" s="5"/>
      <c r="R426" s="5"/>
      <c r="S426" s="5"/>
      <c r="T426" s="10" t="str">
        <f t="shared" ca="1" si="27"/>
        <v/>
      </c>
      <c r="U426" s="5"/>
    </row>
    <row r="427" spans="1:21" x14ac:dyDescent="0.25">
      <c r="A427" s="5"/>
      <c r="B427" s="5"/>
      <c r="C427" s="5"/>
      <c r="D427" s="5" t="str">
        <f>IF($C427="","",INDEX(PLAN_DESARROLLO!$B:$B,MATCH($C427,PLAN_DESARROLLO!$A:$A,0)))</f>
        <v/>
      </c>
      <c r="E427" s="5" t="str">
        <f>IF($C427="","",INDEX(PLAN_DESARROLLO!$C:$C,MATCH($C427,PLAN_DESARROLLO!$A:$A,0)))</f>
        <v/>
      </c>
      <c r="F427" s="5" t="str">
        <f>IF($C427="","",INDEX(PLAN_DESARROLLO!$D:$D,MATCH($C427,PLAN_DESARROLLO!$A:$A,0)))</f>
        <v/>
      </c>
      <c r="G427" s="5" t="str">
        <f>IF($C427="","",INDEX(PLAN_DESARROLLO!$E:$E,MATCH($C427,PLAN_DESARROLLO!$A:$A,0)))</f>
        <v/>
      </c>
      <c r="H427" s="12"/>
      <c r="I427" s="12"/>
      <c r="J427" s="6" t="str">
        <f t="shared" si="25"/>
        <v/>
      </c>
      <c r="K427" s="8"/>
      <c r="L427" s="8"/>
      <c r="M427" s="6" t="str">
        <f t="shared" si="26"/>
        <v/>
      </c>
      <c r="N427" s="5"/>
      <c r="O427" s="5"/>
      <c r="P427" s="5"/>
      <c r="Q427" s="5"/>
      <c r="R427" s="5"/>
      <c r="S427" s="5"/>
      <c r="T427" s="10" t="str">
        <f t="shared" ca="1" si="27"/>
        <v/>
      </c>
      <c r="U427" s="5"/>
    </row>
    <row r="428" spans="1:21" x14ac:dyDescent="0.25">
      <c r="A428" s="5"/>
      <c r="B428" s="5"/>
      <c r="C428" s="5"/>
      <c r="D428" s="5" t="str">
        <f>IF($C428="","",INDEX(PLAN_DESARROLLO!$B:$B,MATCH($C428,PLAN_DESARROLLO!$A:$A,0)))</f>
        <v/>
      </c>
      <c r="E428" s="5" t="str">
        <f>IF($C428="","",INDEX(PLAN_DESARROLLO!$C:$C,MATCH($C428,PLAN_DESARROLLO!$A:$A,0)))</f>
        <v/>
      </c>
      <c r="F428" s="5" t="str">
        <f>IF($C428="","",INDEX(PLAN_DESARROLLO!$D:$D,MATCH($C428,PLAN_DESARROLLO!$A:$A,0)))</f>
        <v/>
      </c>
      <c r="G428" s="5" t="str">
        <f>IF($C428="","",INDEX(PLAN_DESARROLLO!$E:$E,MATCH($C428,PLAN_DESARROLLO!$A:$A,0)))</f>
        <v/>
      </c>
      <c r="H428" s="12"/>
      <c r="I428" s="12"/>
      <c r="J428" s="6" t="str">
        <f t="shared" si="25"/>
        <v/>
      </c>
      <c r="K428" s="8"/>
      <c r="L428" s="8"/>
      <c r="M428" s="6" t="str">
        <f t="shared" si="26"/>
        <v/>
      </c>
      <c r="N428" s="5"/>
      <c r="O428" s="5"/>
      <c r="P428" s="5"/>
      <c r="Q428" s="5"/>
      <c r="R428" s="5"/>
      <c r="S428" s="5"/>
      <c r="T428" s="10" t="str">
        <f t="shared" ca="1" si="27"/>
        <v/>
      </c>
      <c r="U428" s="5"/>
    </row>
    <row r="429" spans="1:21" x14ac:dyDescent="0.25">
      <c r="A429" s="5"/>
      <c r="B429" s="5"/>
      <c r="C429" s="5"/>
      <c r="D429" s="5" t="str">
        <f>IF($C429="","",INDEX(PLAN_DESARROLLO!$B:$B,MATCH($C429,PLAN_DESARROLLO!$A:$A,0)))</f>
        <v/>
      </c>
      <c r="E429" s="5" t="str">
        <f>IF($C429="","",INDEX(PLAN_DESARROLLO!$C:$C,MATCH($C429,PLAN_DESARROLLO!$A:$A,0)))</f>
        <v/>
      </c>
      <c r="F429" s="5" t="str">
        <f>IF($C429="","",INDEX(PLAN_DESARROLLO!$D:$D,MATCH($C429,PLAN_DESARROLLO!$A:$A,0)))</f>
        <v/>
      </c>
      <c r="G429" s="5" t="str">
        <f>IF($C429="","",INDEX(PLAN_DESARROLLO!$E:$E,MATCH($C429,PLAN_DESARROLLO!$A:$A,0)))</f>
        <v/>
      </c>
      <c r="H429" s="12"/>
      <c r="I429" s="12"/>
      <c r="J429" s="6" t="str">
        <f t="shared" si="25"/>
        <v/>
      </c>
      <c r="K429" s="8"/>
      <c r="L429" s="8"/>
      <c r="M429" s="6" t="str">
        <f t="shared" si="26"/>
        <v/>
      </c>
      <c r="N429" s="5"/>
      <c r="O429" s="5"/>
      <c r="P429" s="5"/>
      <c r="Q429" s="5"/>
      <c r="R429" s="5"/>
      <c r="S429" s="5"/>
      <c r="T429" s="10" t="str">
        <f t="shared" ca="1" si="27"/>
        <v/>
      </c>
      <c r="U429" s="5"/>
    </row>
    <row r="430" spans="1:21" x14ac:dyDescent="0.25">
      <c r="A430" s="5"/>
      <c r="B430" s="5"/>
      <c r="C430" s="5"/>
      <c r="D430" s="5" t="str">
        <f>IF($C430="","",INDEX(PLAN_DESARROLLO!$B:$B,MATCH($C430,PLAN_DESARROLLO!$A:$A,0)))</f>
        <v/>
      </c>
      <c r="E430" s="5" t="str">
        <f>IF($C430="","",INDEX(PLAN_DESARROLLO!$C:$C,MATCH($C430,PLAN_DESARROLLO!$A:$A,0)))</f>
        <v/>
      </c>
      <c r="F430" s="5" t="str">
        <f>IF($C430="","",INDEX(PLAN_DESARROLLO!$D:$D,MATCH($C430,PLAN_DESARROLLO!$A:$A,0)))</f>
        <v/>
      </c>
      <c r="G430" s="5" t="str">
        <f>IF($C430="","",INDEX(PLAN_DESARROLLO!$E:$E,MATCH($C430,PLAN_DESARROLLO!$A:$A,0)))</f>
        <v/>
      </c>
      <c r="H430" s="12"/>
      <c r="I430" s="12"/>
      <c r="J430" s="6" t="str">
        <f t="shared" si="25"/>
        <v/>
      </c>
      <c r="K430" s="8"/>
      <c r="L430" s="8"/>
      <c r="M430" s="6" t="str">
        <f t="shared" si="26"/>
        <v/>
      </c>
      <c r="N430" s="5"/>
      <c r="O430" s="5"/>
      <c r="P430" s="5"/>
      <c r="Q430" s="5"/>
      <c r="R430" s="5"/>
      <c r="S430" s="5"/>
      <c r="T430" s="10" t="str">
        <f t="shared" ca="1" si="27"/>
        <v/>
      </c>
      <c r="U430" s="5"/>
    </row>
    <row r="431" spans="1:21" x14ac:dyDescent="0.25">
      <c r="A431" s="5"/>
      <c r="B431" s="5"/>
      <c r="C431" s="5"/>
      <c r="D431" s="5" t="str">
        <f>IF($C431="","",INDEX(PLAN_DESARROLLO!$B:$B,MATCH($C431,PLAN_DESARROLLO!$A:$A,0)))</f>
        <v/>
      </c>
      <c r="E431" s="5" t="str">
        <f>IF($C431="","",INDEX(PLAN_DESARROLLO!$C:$C,MATCH($C431,PLAN_DESARROLLO!$A:$A,0)))</f>
        <v/>
      </c>
      <c r="F431" s="5" t="str">
        <f>IF($C431="","",INDEX(PLAN_DESARROLLO!$D:$D,MATCH($C431,PLAN_DESARROLLO!$A:$A,0)))</f>
        <v/>
      </c>
      <c r="G431" s="5" t="str">
        <f>IF($C431="","",INDEX(PLAN_DESARROLLO!$E:$E,MATCH($C431,PLAN_DESARROLLO!$A:$A,0)))</f>
        <v/>
      </c>
      <c r="H431" s="12"/>
      <c r="I431" s="12"/>
      <c r="J431" s="6" t="str">
        <f t="shared" si="25"/>
        <v/>
      </c>
      <c r="K431" s="8"/>
      <c r="L431" s="8"/>
      <c r="M431" s="6" t="str">
        <f t="shared" si="26"/>
        <v/>
      </c>
      <c r="N431" s="5"/>
      <c r="O431" s="5"/>
      <c r="P431" s="5"/>
      <c r="Q431" s="5"/>
      <c r="R431" s="5"/>
      <c r="S431" s="5"/>
      <c r="T431" s="10" t="str">
        <f t="shared" ca="1" si="27"/>
        <v/>
      </c>
      <c r="U431" s="5"/>
    </row>
    <row r="432" spans="1:21" x14ac:dyDescent="0.25">
      <c r="A432" s="5"/>
      <c r="B432" s="5"/>
      <c r="C432" s="5"/>
      <c r="D432" s="5" t="str">
        <f>IF($C432="","",INDEX(PLAN_DESARROLLO!$B:$B,MATCH($C432,PLAN_DESARROLLO!$A:$A,0)))</f>
        <v/>
      </c>
      <c r="E432" s="5" t="str">
        <f>IF($C432="","",INDEX(PLAN_DESARROLLO!$C:$C,MATCH($C432,PLAN_DESARROLLO!$A:$A,0)))</f>
        <v/>
      </c>
      <c r="F432" s="5" t="str">
        <f>IF($C432="","",INDEX(PLAN_DESARROLLO!$D:$D,MATCH($C432,PLAN_DESARROLLO!$A:$A,0)))</f>
        <v/>
      </c>
      <c r="G432" s="5" t="str">
        <f>IF($C432="","",INDEX(PLAN_DESARROLLO!$E:$E,MATCH($C432,PLAN_DESARROLLO!$A:$A,0)))</f>
        <v/>
      </c>
      <c r="H432" s="12"/>
      <c r="I432" s="12"/>
      <c r="J432" s="6" t="str">
        <f t="shared" si="25"/>
        <v/>
      </c>
      <c r="K432" s="8"/>
      <c r="L432" s="8"/>
      <c r="M432" s="6" t="str">
        <f t="shared" si="26"/>
        <v/>
      </c>
      <c r="N432" s="5"/>
      <c r="O432" s="5"/>
      <c r="P432" s="5"/>
      <c r="Q432" s="5"/>
      <c r="R432" s="5"/>
      <c r="S432" s="5"/>
      <c r="T432" s="10" t="str">
        <f t="shared" ca="1" si="27"/>
        <v/>
      </c>
      <c r="U432" s="5"/>
    </row>
    <row r="433" spans="1:21" x14ac:dyDescent="0.25">
      <c r="A433" s="5"/>
      <c r="B433" s="5"/>
      <c r="C433" s="5"/>
      <c r="D433" s="5" t="str">
        <f>IF($C433="","",INDEX(PLAN_DESARROLLO!$B:$B,MATCH($C433,PLAN_DESARROLLO!$A:$A,0)))</f>
        <v/>
      </c>
      <c r="E433" s="5" t="str">
        <f>IF($C433="","",INDEX(PLAN_DESARROLLO!$C:$C,MATCH($C433,PLAN_DESARROLLO!$A:$A,0)))</f>
        <v/>
      </c>
      <c r="F433" s="5" t="str">
        <f>IF($C433="","",INDEX(PLAN_DESARROLLO!$D:$D,MATCH($C433,PLAN_DESARROLLO!$A:$A,0)))</f>
        <v/>
      </c>
      <c r="G433" s="5" t="str">
        <f>IF($C433="","",INDEX(PLAN_DESARROLLO!$E:$E,MATCH($C433,PLAN_DESARROLLO!$A:$A,0)))</f>
        <v/>
      </c>
      <c r="H433" s="12"/>
      <c r="I433" s="12"/>
      <c r="J433" s="6" t="str">
        <f t="shared" si="25"/>
        <v/>
      </c>
      <c r="K433" s="8"/>
      <c r="L433" s="8"/>
      <c r="M433" s="6" t="str">
        <f t="shared" si="26"/>
        <v/>
      </c>
      <c r="N433" s="5"/>
      <c r="O433" s="5"/>
      <c r="P433" s="5"/>
      <c r="Q433" s="5"/>
      <c r="R433" s="5"/>
      <c r="S433" s="5"/>
      <c r="T433" s="10" t="str">
        <f t="shared" ca="1" si="27"/>
        <v/>
      </c>
      <c r="U433" s="5"/>
    </row>
    <row r="434" spans="1:21" x14ac:dyDescent="0.25">
      <c r="A434" s="5"/>
      <c r="B434" s="5"/>
      <c r="C434" s="5"/>
      <c r="D434" s="5" t="str">
        <f>IF($C434="","",INDEX(PLAN_DESARROLLO!$B:$B,MATCH($C434,PLAN_DESARROLLO!$A:$A,0)))</f>
        <v/>
      </c>
      <c r="E434" s="5" t="str">
        <f>IF($C434="","",INDEX(PLAN_DESARROLLO!$C:$C,MATCH($C434,PLAN_DESARROLLO!$A:$A,0)))</f>
        <v/>
      </c>
      <c r="F434" s="5" t="str">
        <f>IF($C434="","",INDEX(PLAN_DESARROLLO!$D:$D,MATCH($C434,PLAN_DESARROLLO!$A:$A,0)))</f>
        <v/>
      </c>
      <c r="G434" s="5" t="str">
        <f>IF($C434="","",INDEX(PLAN_DESARROLLO!$E:$E,MATCH($C434,PLAN_DESARROLLO!$A:$A,0)))</f>
        <v/>
      </c>
      <c r="H434" s="12"/>
      <c r="I434" s="12"/>
      <c r="J434" s="6" t="str">
        <f t="shared" si="25"/>
        <v/>
      </c>
      <c r="K434" s="8"/>
      <c r="L434" s="8"/>
      <c r="M434" s="6" t="str">
        <f t="shared" si="26"/>
        <v/>
      </c>
      <c r="N434" s="5"/>
      <c r="O434" s="5"/>
      <c r="P434" s="5"/>
      <c r="Q434" s="5"/>
      <c r="R434" s="5"/>
      <c r="S434" s="5"/>
      <c r="T434" s="10" t="str">
        <f t="shared" ca="1" si="27"/>
        <v/>
      </c>
      <c r="U434" s="5"/>
    </row>
    <row r="435" spans="1:21" x14ac:dyDescent="0.25">
      <c r="A435" s="5"/>
      <c r="B435" s="5"/>
      <c r="C435" s="5"/>
      <c r="D435" s="5" t="str">
        <f>IF($C435="","",INDEX(PLAN_DESARROLLO!$B:$B,MATCH($C435,PLAN_DESARROLLO!$A:$A,0)))</f>
        <v/>
      </c>
      <c r="E435" s="5" t="str">
        <f>IF($C435="","",INDEX(PLAN_DESARROLLO!$C:$C,MATCH($C435,PLAN_DESARROLLO!$A:$A,0)))</f>
        <v/>
      </c>
      <c r="F435" s="5" t="str">
        <f>IF($C435="","",INDEX(PLAN_DESARROLLO!$D:$D,MATCH($C435,PLAN_DESARROLLO!$A:$A,0)))</f>
        <v/>
      </c>
      <c r="G435" s="5" t="str">
        <f>IF($C435="","",INDEX(PLAN_DESARROLLO!$E:$E,MATCH($C435,PLAN_DESARROLLO!$A:$A,0)))</f>
        <v/>
      </c>
      <c r="H435" s="12"/>
      <c r="I435" s="12"/>
      <c r="J435" s="6" t="str">
        <f t="shared" si="25"/>
        <v/>
      </c>
      <c r="K435" s="8"/>
      <c r="L435" s="8"/>
      <c r="M435" s="6" t="str">
        <f t="shared" si="26"/>
        <v/>
      </c>
      <c r="N435" s="5"/>
      <c r="O435" s="5"/>
      <c r="P435" s="5"/>
      <c r="Q435" s="5"/>
      <c r="R435" s="5"/>
      <c r="S435" s="5"/>
      <c r="T435" s="10" t="str">
        <f t="shared" ca="1" si="27"/>
        <v/>
      </c>
      <c r="U435" s="5"/>
    </row>
    <row r="436" spans="1:21" x14ac:dyDescent="0.25">
      <c r="A436" s="5"/>
      <c r="B436" s="5"/>
      <c r="C436" s="5"/>
      <c r="D436" s="5" t="str">
        <f>IF($C436="","",INDEX(PLAN_DESARROLLO!$B:$B,MATCH($C436,PLAN_DESARROLLO!$A:$A,0)))</f>
        <v/>
      </c>
      <c r="E436" s="5" t="str">
        <f>IF($C436="","",INDEX(PLAN_DESARROLLO!$C:$C,MATCH($C436,PLAN_DESARROLLO!$A:$A,0)))</f>
        <v/>
      </c>
      <c r="F436" s="5" t="str">
        <f>IF($C436="","",INDEX(PLAN_DESARROLLO!$D:$D,MATCH($C436,PLAN_DESARROLLO!$A:$A,0)))</f>
        <v/>
      </c>
      <c r="G436" s="5" t="str">
        <f>IF($C436="","",INDEX(PLAN_DESARROLLO!$E:$E,MATCH($C436,PLAN_DESARROLLO!$A:$A,0)))</f>
        <v/>
      </c>
      <c r="H436" s="12"/>
      <c r="I436" s="12"/>
      <c r="J436" s="6" t="str">
        <f t="shared" si="25"/>
        <v/>
      </c>
      <c r="K436" s="8"/>
      <c r="L436" s="8"/>
      <c r="M436" s="6" t="str">
        <f t="shared" si="26"/>
        <v/>
      </c>
      <c r="N436" s="5"/>
      <c r="O436" s="5"/>
      <c r="P436" s="5"/>
      <c r="Q436" s="5"/>
      <c r="R436" s="5"/>
      <c r="S436" s="5"/>
      <c r="T436" s="10" t="str">
        <f t="shared" ca="1" si="27"/>
        <v/>
      </c>
      <c r="U436" s="5"/>
    </row>
    <row r="437" spans="1:21" x14ac:dyDescent="0.25">
      <c r="A437" s="5"/>
      <c r="B437" s="5"/>
      <c r="C437" s="5"/>
      <c r="D437" s="5" t="str">
        <f>IF($C437="","",INDEX(PLAN_DESARROLLO!$B:$B,MATCH($C437,PLAN_DESARROLLO!$A:$A,0)))</f>
        <v/>
      </c>
      <c r="E437" s="5" t="str">
        <f>IF($C437="","",INDEX(PLAN_DESARROLLO!$C:$C,MATCH($C437,PLAN_DESARROLLO!$A:$A,0)))</f>
        <v/>
      </c>
      <c r="F437" s="5" t="str">
        <f>IF($C437="","",INDEX(PLAN_DESARROLLO!$D:$D,MATCH($C437,PLAN_DESARROLLO!$A:$A,0)))</f>
        <v/>
      </c>
      <c r="G437" s="5" t="str">
        <f>IF($C437="","",INDEX(PLAN_DESARROLLO!$E:$E,MATCH($C437,PLAN_DESARROLLO!$A:$A,0)))</f>
        <v/>
      </c>
      <c r="H437" s="12"/>
      <c r="I437" s="12"/>
      <c r="J437" s="6" t="str">
        <f t="shared" si="25"/>
        <v/>
      </c>
      <c r="K437" s="8"/>
      <c r="L437" s="8"/>
      <c r="M437" s="6" t="str">
        <f t="shared" si="26"/>
        <v/>
      </c>
      <c r="N437" s="5"/>
      <c r="O437" s="5"/>
      <c r="P437" s="5"/>
      <c r="Q437" s="5"/>
      <c r="R437" s="5"/>
      <c r="S437" s="5"/>
      <c r="T437" s="10" t="str">
        <f t="shared" ca="1" si="27"/>
        <v/>
      </c>
      <c r="U437" s="5"/>
    </row>
    <row r="438" spans="1:21" x14ac:dyDescent="0.25">
      <c r="A438" s="5"/>
      <c r="B438" s="5"/>
      <c r="C438" s="5"/>
      <c r="D438" s="5" t="str">
        <f>IF($C438="","",INDEX(PLAN_DESARROLLO!$B:$B,MATCH($C438,PLAN_DESARROLLO!$A:$A,0)))</f>
        <v/>
      </c>
      <c r="E438" s="5" t="str">
        <f>IF($C438="","",INDEX(PLAN_DESARROLLO!$C:$C,MATCH($C438,PLAN_DESARROLLO!$A:$A,0)))</f>
        <v/>
      </c>
      <c r="F438" s="5" t="str">
        <f>IF($C438="","",INDEX(PLAN_DESARROLLO!$D:$D,MATCH($C438,PLAN_DESARROLLO!$A:$A,0)))</f>
        <v/>
      </c>
      <c r="G438" s="5" t="str">
        <f>IF($C438="","",INDEX(PLAN_DESARROLLO!$E:$E,MATCH($C438,PLAN_DESARROLLO!$A:$A,0)))</f>
        <v/>
      </c>
      <c r="H438" s="12"/>
      <c r="I438" s="12"/>
      <c r="J438" s="6" t="str">
        <f t="shared" si="25"/>
        <v/>
      </c>
      <c r="K438" s="8"/>
      <c r="L438" s="8"/>
      <c r="M438" s="6" t="str">
        <f t="shared" si="26"/>
        <v/>
      </c>
      <c r="N438" s="5"/>
      <c r="O438" s="5"/>
      <c r="P438" s="5"/>
      <c r="Q438" s="5"/>
      <c r="R438" s="5"/>
      <c r="S438" s="5"/>
      <c r="T438" s="10" t="str">
        <f t="shared" ca="1" si="27"/>
        <v/>
      </c>
      <c r="U438" s="5"/>
    </row>
    <row r="439" spans="1:21" x14ac:dyDescent="0.25">
      <c r="A439" s="5"/>
      <c r="B439" s="5"/>
      <c r="C439" s="5"/>
      <c r="D439" s="5" t="str">
        <f>IF($C439="","",INDEX(PLAN_DESARROLLO!$B:$B,MATCH($C439,PLAN_DESARROLLO!$A:$A,0)))</f>
        <v/>
      </c>
      <c r="E439" s="5" t="str">
        <f>IF($C439="","",INDEX(PLAN_DESARROLLO!$C:$C,MATCH($C439,PLAN_DESARROLLO!$A:$A,0)))</f>
        <v/>
      </c>
      <c r="F439" s="5" t="str">
        <f>IF($C439="","",INDEX(PLAN_DESARROLLO!$D:$D,MATCH($C439,PLAN_DESARROLLO!$A:$A,0)))</f>
        <v/>
      </c>
      <c r="G439" s="5" t="str">
        <f>IF($C439="","",INDEX(PLAN_DESARROLLO!$E:$E,MATCH($C439,PLAN_DESARROLLO!$A:$A,0)))</f>
        <v/>
      </c>
      <c r="H439" s="12"/>
      <c r="I439" s="12"/>
      <c r="J439" s="6" t="str">
        <f t="shared" si="25"/>
        <v/>
      </c>
      <c r="K439" s="8"/>
      <c r="L439" s="8"/>
      <c r="M439" s="6" t="str">
        <f t="shared" si="26"/>
        <v/>
      </c>
      <c r="N439" s="5"/>
      <c r="O439" s="5"/>
      <c r="P439" s="5"/>
      <c r="Q439" s="5"/>
      <c r="R439" s="5"/>
      <c r="S439" s="5"/>
      <c r="T439" s="10" t="str">
        <f t="shared" ca="1" si="27"/>
        <v/>
      </c>
      <c r="U439" s="5"/>
    </row>
    <row r="440" spans="1:21" x14ac:dyDescent="0.25">
      <c r="A440" s="5"/>
      <c r="B440" s="5"/>
      <c r="C440" s="5"/>
      <c r="D440" s="5" t="str">
        <f>IF($C440="","",INDEX(PLAN_DESARROLLO!$B:$B,MATCH($C440,PLAN_DESARROLLO!$A:$A,0)))</f>
        <v/>
      </c>
      <c r="E440" s="5" t="str">
        <f>IF($C440="","",INDEX(PLAN_DESARROLLO!$C:$C,MATCH($C440,PLAN_DESARROLLO!$A:$A,0)))</f>
        <v/>
      </c>
      <c r="F440" s="5" t="str">
        <f>IF($C440="","",INDEX(PLAN_DESARROLLO!$D:$D,MATCH($C440,PLAN_DESARROLLO!$A:$A,0)))</f>
        <v/>
      </c>
      <c r="G440" s="5" t="str">
        <f>IF($C440="","",INDEX(PLAN_DESARROLLO!$E:$E,MATCH($C440,PLAN_DESARROLLO!$A:$A,0)))</f>
        <v/>
      </c>
      <c r="H440" s="12"/>
      <c r="I440" s="12"/>
      <c r="J440" s="6" t="str">
        <f t="shared" si="25"/>
        <v/>
      </c>
      <c r="K440" s="8"/>
      <c r="L440" s="8"/>
      <c r="M440" s="6" t="str">
        <f t="shared" si="26"/>
        <v/>
      </c>
      <c r="N440" s="5"/>
      <c r="O440" s="5"/>
      <c r="P440" s="5"/>
      <c r="Q440" s="5"/>
      <c r="R440" s="5"/>
      <c r="S440" s="5"/>
      <c r="T440" s="10" t="str">
        <f t="shared" ca="1" si="27"/>
        <v/>
      </c>
      <c r="U440" s="5"/>
    </row>
    <row r="441" spans="1:21" x14ac:dyDescent="0.25">
      <c r="A441" s="5"/>
      <c r="B441" s="5"/>
      <c r="C441" s="5"/>
      <c r="D441" s="5" t="str">
        <f>IF($C441="","",INDEX(PLAN_DESARROLLO!$B:$B,MATCH($C441,PLAN_DESARROLLO!$A:$A,0)))</f>
        <v/>
      </c>
      <c r="E441" s="5" t="str">
        <f>IF($C441="","",INDEX(PLAN_DESARROLLO!$C:$C,MATCH($C441,PLAN_DESARROLLO!$A:$A,0)))</f>
        <v/>
      </c>
      <c r="F441" s="5" t="str">
        <f>IF($C441="","",INDEX(PLAN_DESARROLLO!$D:$D,MATCH($C441,PLAN_DESARROLLO!$A:$A,0)))</f>
        <v/>
      </c>
      <c r="G441" s="5" t="str">
        <f>IF($C441="","",INDEX(PLAN_DESARROLLO!$E:$E,MATCH($C441,PLAN_DESARROLLO!$A:$A,0)))</f>
        <v/>
      </c>
      <c r="H441" s="12"/>
      <c r="I441" s="12"/>
      <c r="J441" s="6" t="str">
        <f t="shared" si="25"/>
        <v/>
      </c>
      <c r="K441" s="8"/>
      <c r="L441" s="8"/>
      <c r="M441" s="6" t="str">
        <f t="shared" si="26"/>
        <v/>
      </c>
      <c r="N441" s="5"/>
      <c r="O441" s="5"/>
      <c r="P441" s="5"/>
      <c r="Q441" s="5"/>
      <c r="R441" s="5"/>
      <c r="S441" s="5"/>
      <c r="T441" s="10" t="str">
        <f t="shared" ca="1" si="27"/>
        <v/>
      </c>
      <c r="U441" s="5"/>
    </row>
    <row r="442" spans="1:21" x14ac:dyDescent="0.25">
      <c r="A442" s="5"/>
      <c r="B442" s="5"/>
      <c r="C442" s="5"/>
      <c r="D442" s="5" t="str">
        <f>IF($C442="","",INDEX(PLAN_DESARROLLO!$B:$B,MATCH($C442,PLAN_DESARROLLO!$A:$A,0)))</f>
        <v/>
      </c>
      <c r="E442" s="5" t="str">
        <f>IF($C442="","",INDEX(PLAN_DESARROLLO!$C:$C,MATCH($C442,PLAN_DESARROLLO!$A:$A,0)))</f>
        <v/>
      </c>
      <c r="F442" s="5" t="str">
        <f>IF($C442="","",INDEX(PLAN_DESARROLLO!$D:$D,MATCH($C442,PLAN_DESARROLLO!$A:$A,0)))</f>
        <v/>
      </c>
      <c r="G442" s="5" t="str">
        <f>IF($C442="","",INDEX(PLAN_DESARROLLO!$E:$E,MATCH($C442,PLAN_DESARROLLO!$A:$A,0)))</f>
        <v/>
      </c>
      <c r="H442" s="12"/>
      <c r="I442" s="12"/>
      <c r="J442" s="6" t="str">
        <f t="shared" si="25"/>
        <v/>
      </c>
      <c r="K442" s="8"/>
      <c r="L442" s="8"/>
      <c r="M442" s="6" t="str">
        <f t="shared" si="26"/>
        <v/>
      </c>
      <c r="N442" s="5"/>
      <c r="O442" s="5"/>
      <c r="P442" s="5"/>
      <c r="Q442" s="5"/>
      <c r="R442" s="5"/>
      <c r="S442" s="5"/>
      <c r="T442" s="10" t="str">
        <f t="shared" ca="1" si="27"/>
        <v/>
      </c>
      <c r="U442" s="5"/>
    </row>
    <row r="443" spans="1:21" x14ac:dyDescent="0.25">
      <c r="A443" s="5"/>
      <c r="B443" s="5"/>
      <c r="C443" s="5"/>
      <c r="D443" s="5" t="str">
        <f>IF($C443="","",INDEX(PLAN_DESARROLLO!$B:$B,MATCH($C443,PLAN_DESARROLLO!$A:$A,0)))</f>
        <v/>
      </c>
      <c r="E443" s="5" t="str">
        <f>IF($C443="","",INDEX(PLAN_DESARROLLO!$C:$C,MATCH($C443,PLAN_DESARROLLO!$A:$A,0)))</f>
        <v/>
      </c>
      <c r="F443" s="5" t="str">
        <f>IF($C443="","",INDEX(PLAN_DESARROLLO!$D:$D,MATCH($C443,PLAN_DESARROLLO!$A:$A,0)))</f>
        <v/>
      </c>
      <c r="G443" s="5" t="str">
        <f>IF($C443="","",INDEX(PLAN_DESARROLLO!$E:$E,MATCH($C443,PLAN_DESARROLLO!$A:$A,0)))</f>
        <v/>
      </c>
      <c r="H443" s="12"/>
      <c r="I443" s="12"/>
      <c r="J443" s="6" t="str">
        <f t="shared" si="25"/>
        <v/>
      </c>
      <c r="K443" s="8"/>
      <c r="L443" s="8"/>
      <c r="M443" s="6" t="str">
        <f t="shared" si="26"/>
        <v/>
      </c>
      <c r="N443" s="5"/>
      <c r="O443" s="5"/>
      <c r="P443" s="5"/>
      <c r="Q443" s="5"/>
      <c r="R443" s="5"/>
      <c r="S443" s="5"/>
      <c r="T443" s="10" t="str">
        <f t="shared" ca="1" si="27"/>
        <v/>
      </c>
      <c r="U443" s="5"/>
    </row>
    <row r="444" spans="1:21" x14ac:dyDescent="0.25">
      <c r="A444" s="5"/>
      <c r="B444" s="5"/>
      <c r="C444" s="5"/>
      <c r="D444" s="5" t="str">
        <f>IF($C444="","",INDEX(PLAN_DESARROLLO!$B:$B,MATCH($C444,PLAN_DESARROLLO!$A:$A,0)))</f>
        <v/>
      </c>
      <c r="E444" s="5" t="str">
        <f>IF($C444="","",INDEX(PLAN_DESARROLLO!$C:$C,MATCH($C444,PLAN_DESARROLLO!$A:$A,0)))</f>
        <v/>
      </c>
      <c r="F444" s="5" t="str">
        <f>IF($C444="","",INDEX(PLAN_DESARROLLO!$D:$D,MATCH($C444,PLAN_DESARROLLO!$A:$A,0)))</f>
        <v/>
      </c>
      <c r="G444" s="5" t="str">
        <f>IF($C444="","",INDEX(PLAN_DESARROLLO!$E:$E,MATCH($C444,PLAN_DESARROLLO!$A:$A,0)))</f>
        <v/>
      </c>
      <c r="H444" s="12"/>
      <c r="I444" s="12"/>
      <c r="J444" s="6" t="str">
        <f t="shared" si="25"/>
        <v/>
      </c>
      <c r="K444" s="8"/>
      <c r="L444" s="8"/>
      <c r="M444" s="6" t="str">
        <f t="shared" si="26"/>
        <v/>
      </c>
      <c r="N444" s="5"/>
      <c r="O444" s="5"/>
      <c r="P444" s="5"/>
      <c r="Q444" s="5"/>
      <c r="R444" s="5"/>
      <c r="S444" s="5"/>
      <c r="T444" s="10" t="str">
        <f t="shared" ca="1" si="27"/>
        <v/>
      </c>
      <c r="U444" s="5"/>
    </row>
    <row r="445" spans="1:21" x14ac:dyDescent="0.25">
      <c r="A445" s="5"/>
      <c r="B445" s="5"/>
      <c r="C445" s="5"/>
      <c r="D445" s="5" t="str">
        <f>IF($C445="","",INDEX(PLAN_DESARROLLO!$B:$B,MATCH($C445,PLAN_DESARROLLO!$A:$A,0)))</f>
        <v/>
      </c>
      <c r="E445" s="5" t="str">
        <f>IF($C445="","",INDEX(PLAN_DESARROLLO!$C:$C,MATCH($C445,PLAN_DESARROLLO!$A:$A,0)))</f>
        <v/>
      </c>
      <c r="F445" s="5" t="str">
        <f>IF($C445="","",INDEX(PLAN_DESARROLLO!$D:$D,MATCH($C445,PLAN_DESARROLLO!$A:$A,0)))</f>
        <v/>
      </c>
      <c r="G445" s="5" t="str">
        <f>IF($C445="","",INDEX(PLAN_DESARROLLO!$E:$E,MATCH($C445,PLAN_DESARROLLO!$A:$A,0)))</f>
        <v/>
      </c>
      <c r="H445" s="12"/>
      <c r="I445" s="12"/>
      <c r="J445" s="6" t="str">
        <f t="shared" si="25"/>
        <v/>
      </c>
      <c r="K445" s="8"/>
      <c r="L445" s="8"/>
      <c r="M445" s="6" t="str">
        <f t="shared" si="26"/>
        <v/>
      </c>
      <c r="N445" s="5"/>
      <c r="O445" s="5"/>
      <c r="P445" s="5"/>
      <c r="Q445" s="5"/>
      <c r="R445" s="5"/>
      <c r="S445" s="5"/>
      <c r="T445" s="10" t="str">
        <f t="shared" ca="1" si="27"/>
        <v/>
      </c>
      <c r="U445" s="5"/>
    </row>
    <row r="446" spans="1:21" x14ac:dyDescent="0.25">
      <c r="A446" s="5"/>
      <c r="B446" s="5"/>
      <c r="C446" s="5"/>
      <c r="D446" s="5" t="str">
        <f>IF($C446="","",INDEX(PLAN_DESARROLLO!$B:$B,MATCH($C446,PLAN_DESARROLLO!$A:$A,0)))</f>
        <v/>
      </c>
      <c r="E446" s="5" t="str">
        <f>IF($C446="","",INDEX(PLAN_DESARROLLO!$C:$C,MATCH($C446,PLAN_DESARROLLO!$A:$A,0)))</f>
        <v/>
      </c>
      <c r="F446" s="5" t="str">
        <f>IF($C446="","",INDEX(PLAN_DESARROLLO!$D:$D,MATCH($C446,PLAN_DESARROLLO!$A:$A,0)))</f>
        <v/>
      </c>
      <c r="G446" s="5" t="str">
        <f>IF($C446="","",INDEX(PLAN_DESARROLLO!$E:$E,MATCH($C446,PLAN_DESARROLLO!$A:$A,0)))</f>
        <v/>
      </c>
      <c r="H446" s="12"/>
      <c r="I446" s="12"/>
      <c r="J446" s="6" t="str">
        <f t="shared" si="25"/>
        <v/>
      </c>
      <c r="K446" s="8"/>
      <c r="L446" s="8"/>
      <c r="M446" s="6" t="str">
        <f t="shared" si="26"/>
        <v/>
      </c>
      <c r="N446" s="5"/>
      <c r="O446" s="5"/>
      <c r="P446" s="5"/>
      <c r="Q446" s="5"/>
      <c r="R446" s="5"/>
      <c r="S446" s="5"/>
      <c r="T446" s="10" t="str">
        <f t="shared" ca="1" si="27"/>
        <v/>
      </c>
      <c r="U446" s="5"/>
    </row>
    <row r="447" spans="1:21" x14ac:dyDescent="0.25">
      <c r="A447" s="5"/>
      <c r="B447" s="5"/>
      <c r="C447" s="5"/>
      <c r="D447" s="5" t="str">
        <f>IF($C447="","",INDEX(PLAN_DESARROLLO!$B:$B,MATCH($C447,PLAN_DESARROLLO!$A:$A,0)))</f>
        <v/>
      </c>
      <c r="E447" s="5" t="str">
        <f>IF($C447="","",INDEX(PLAN_DESARROLLO!$C:$C,MATCH($C447,PLAN_DESARROLLO!$A:$A,0)))</f>
        <v/>
      </c>
      <c r="F447" s="5" t="str">
        <f>IF($C447="","",INDEX(PLAN_DESARROLLO!$D:$D,MATCH($C447,PLAN_DESARROLLO!$A:$A,0)))</f>
        <v/>
      </c>
      <c r="G447" s="5" t="str">
        <f>IF($C447="","",INDEX(PLAN_DESARROLLO!$E:$E,MATCH($C447,PLAN_DESARROLLO!$A:$A,0)))</f>
        <v/>
      </c>
      <c r="H447" s="12"/>
      <c r="I447" s="12"/>
      <c r="J447" s="6" t="str">
        <f t="shared" si="25"/>
        <v/>
      </c>
      <c r="K447" s="8"/>
      <c r="L447" s="8"/>
      <c r="M447" s="6" t="str">
        <f t="shared" si="26"/>
        <v/>
      </c>
      <c r="N447" s="5"/>
      <c r="O447" s="5"/>
      <c r="P447" s="5"/>
      <c r="Q447" s="5"/>
      <c r="R447" s="5"/>
      <c r="S447" s="5"/>
      <c r="T447" s="10" t="str">
        <f t="shared" ca="1" si="27"/>
        <v/>
      </c>
      <c r="U447" s="5"/>
    </row>
    <row r="448" spans="1:21" x14ac:dyDescent="0.25">
      <c r="A448" s="5"/>
      <c r="B448" s="5"/>
      <c r="C448" s="5"/>
      <c r="D448" s="5" t="str">
        <f>IF($C448="","",INDEX(PLAN_DESARROLLO!$B:$B,MATCH($C448,PLAN_DESARROLLO!$A:$A,0)))</f>
        <v/>
      </c>
      <c r="E448" s="5" t="str">
        <f>IF($C448="","",INDEX(PLAN_DESARROLLO!$C:$C,MATCH($C448,PLAN_DESARROLLO!$A:$A,0)))</f>
        <v/>
      </c>
      <c r="F448" s="5" t="str">
        <f>IF($C448="","",INDEX(PLAN_DESARROLLO!$D:$D,MATCH($C448,PLAN_DESARROLLO!$A:$A,0)))</f>
        <v/>
      </c>
      <c r="G448" s="5" t="str">
        <f>IF($C448="","",INDEX(PLAN_DESARROLLO!$E:$E,MATCH($C448,PLAN_DESARROLLO!$A:$A,0)))</f>
        <v/>
      </c>
      <c r="H448" s="12"/>
      <c r="I448" s="12"/>
      <c r="J448" s="6" t="str">
        <f t="shared" si="25"/>
        <v/>
      </c>
      <c r="K448" s="8"/>
      <c r="L448" s="8"/>
      <c r="M448" s="6" t="str">
        <f t="shared" si="26"/>
        <v/>
      </c>
      <c r="N448" s="5"/>
      <c r="O448" s="5"/>
      <c r="P448" s="5"/>
      <c r="Q448" s="5"/>
      <c r="R448" s="5"/>
      <c r="S448" s="5"/>
      <c r="T448" s="10" t="str">
        <f t="shared" ca="1" si="27"/>
        <v/>
      </c>
      <c r="U448" s="5"/>
    </row>
    <row r="449" spans="1:21" x14ac:dyDescent="0.25">
      <c r="A449" s="5"/>
      <c r="B449" s="5"/>
      <c r="C449" s="5"/>
      <c r="D449" s="5" t="str">
        <f>IF($C449="","",INDEX(PLAN_DESARROLLO!$B:$B,MATCH($C449,PLAN_DESARROLLO!$A:$A,0)))</f>
        <v/>
      </c>
      <c r="E449" s="5" t="str">
        <f>IF($C449="","",INDEX(PLAN_DESARROLLO!$C:$C,MATCH($C449,PLAN_DESARROLLO!$A:$A,0)))</f>
        <v/>
      </c>
      <c r="F449" s="5" t="str">
        <f>IF($C449="","",INDEX(PLAN_DESARROLLO!$D:$D,MATCH($C449,PLAN_DESARROLLO!$A:$A,0)))</f>
        <v/>
      </c>
      <c r="G449" s="5" t="str">
        <f>IF($C449="","",INDEX(PLAN_DESARROLLO!$E:$E,MATCH($C449,PLAN_DESARROLLO!$A:$A,0)))</f>
        <v/>
      </c>
      <c r="H449" s="12"/>
      <c r="I449" s="12"/>
      <c r="J449" s="6" t="str">
        <f t="shared" si="25"/>
        <v/>
      </c>
      <c r="K449" s="8"/>
      <c r="L449" s="8"/>
      <c r="M449" s="6" t="str">
        <f t="shared" si="26"/>
        <v/>
      </c>
      <c r="N449" s="5"/>
      <c r="O449" s="5"/>
      <c r="P449" s="5"/>
      <c r="Q449" s="5"/>
      <c r="R449" s="5"/>
      <c r="S449" s="5"/>
      <c r="T449" s="10" t="str">
        <f t="shared" ca="1" si="27"/>
        <v/>
      </c>
      <c r="U449" s="5"/>
    </row>
    <row r="450" spans="1:21" x14ac:dyDescent="0.25">
      <c r="A450" s="5"/>
      <c r="B450" s="5"/>
      <c r="C450" s="5"/>
      <c r="D450" s="5" t="str">
        <f>IF($C450="","",INDEX(PLAN_DESARROLLO!$B:$B,MATCH($C450,PLAN_DESARROLLO!$A:$A,0)))</f>
        <v/>
      </c>
      <c r="E450" s="5" t="str">
        <f>IF($C450="","",INDEX(PLAN_DESARROLLO!$C:$C,MATCH($C450,PLAN_DESARROLLO!$A:$A,0)))</f>
        <v/>
      </c>
      <c r="F450" s="5" t="str">
        <f>IF($C450="","",INDEX(PLAN_DESARROLLO!$D:$D,MATCH($C450,PLAN_DESARROLLO!$A:$A,0)))</f>
        <v/>
      </c>
      <c r="G450" s="5" t="str">
        <f>IF($C450="","",INDEX(PLAN_DESARROLLO!$E:$E,MATCH($C450,PLAN_DESARROLLO!$A:$A,0)))</f>
        <v/>
      </c>
      <c r="H450" s="12"/>
      <c r="I450" s="12"/>
      <c r="J450" s="6" t="str">
        <f t="shared" si="25"/>
        <v/>
      </c>
      <c r="K450" s="8"/>
      <c r="L450" s="8"/>
      <c r="M450" s="6" t="str">
        <f t="shared" si="26"/>
        <v/>
      </c>
      <c r="N450" s="5"/>
      <c r="O450" s="5"/>
      <c r="P450" s="5"/>
      <c r="Q450" s="5"/>
      <c r="R450" s="5"/>
      <c r="S450" s="5"/>
      <c r="T450" s="10" t="str">
        <f t="shared" ca="1" si="27"/>
        <v/>
      </c>
      <c r="U450" s="5"/>
    </row>
    <row r="451" spans="1:21" x14ac:dyDescent="0.25">
      <c r="A451" s="5"/>
      <c r="B451" s="5"/>
      <c r="C451" s="5"/>
      <c r="D451" s="5" t="str">
        <f>IF($C451="","",INDEX(PLAN_DESARROLLO!$B:$B,MATCH($C451,PLAN_DESARROLLO!$A:$A,0)))</f>
        <v/>
      </c>
      <c r="E451" s="5" t="str">
        <f>IF($C451="","",INDEX(PLAN_DESARROLLO!$C:$C,MATCH($C451,PLAN_DESARROLLO!$A:$A,0)))</f>
        <v/>
      </c>
      <c r="F451" s="5" t="str">
        <f>IF($C451="","",INDEX(PLAN_DESARROLLO!$D:$D,MATCH($C451,PLAN_DESARROLLO!$A:$A,0)))</f>
        <v/>
      </c>
      <c r="G451" s="5" t="str">
        <f>IF($C451="","",INDEX(PLAN_DESARROLLO!$E:$E,MATCH($C451,PLAN_DESARROLLO!$A:$A,0)))</f>
        <v/>
      </c>
      <c r="H451" s="12"/>
      <c r="I451" s="12"/>
      <c r="J451" s="6" t="str">
        <f t="shared" si="25"/>
        <v/>
      </c>
      <c r="K451" s="8"/>
      <c r="L451" s="8"/>
      <c r="M451" s="6" t="str">
        <f t="shared" si="26"/>
        <v/>
      </c>
      <c r="N451" s="5"/>
      <c r="O451" s="5"/>
      <c r="P451" s="5"/>
      <c r="Q451" s="5"/>
      <c r="R451" s="5"/>
      <c r="S451" s="5"/>
      <c r="T451" s="10" t="str">
        <f t="shared" ca="1" si="27"/>
        <v/>
      </c>
      <c r="U451" s="5"/>
    </row>
    <row r="452" spans="1:21" x14ac:dyDescent="0.25">
      <c r="A452" s="5"/>
      <c r="B452" s="5"/>
      <c r="C452" s="5"/>
      <c r="D452" s="5" t="str">
        <f>IF($C452="","",INDEX(PLAN_DESARROLLO!$B:$B,MATCH($C452,PLAN_DESARROLLO!$A:$A,0)))</f>
        <v/>
      </c>
      <c r="E452" s="5" t="str">
        <f>IF($C452="","",INDEX(PLAN_DESARROLLO!$C:$C,MATCH($C452,PLAN_DESARROLLO!$A:$A,0)))</f>
        <v/>
      </c>
      <c r="F452" s="5" t="str">
        <f>IF($C452="","",INDEX(PLAN_DESARROLLO!$D:$D,MATCH($C452,PLAN_DESARROLLO!$A:$A,0)))</f>
        <v/>
      </c>
      <c r="G452" s="5" t="str">
        <f>IF($C452="","",INDEX(PLAN_DESARROLLO!$E:$E,MATCH($C452,PLAN_DESARROLLO!$A:$A,0)))</f>
        <v/>
      </c>
      <c r="H452" s="12"/>
      <c r="I452" s="12"/>
      <c r="J452" s="6" t="str">
        <f t="shared" si="25"/>
        <v/>
      </c>
      <c r="K452" s="8"/>
      <c r="L452" s="8"/>
      <c r="M452" s="6" t="str">
        <f t="shared" si="26"/>
        <v/>
      </c>
      <c r="N452" s="5"/>
      <c r="O452" s="5"/>
      <c r="P452" s="5"/>
      <c r="Q452" s="5"/>
      <c r="R452" s="5"/>
      <c r="S452" s="5"/>
      <c r="T452" s="10" t="str">
        <f t="shared" ca="1" si="27"/>
        <v/>
      </c>
      <c r="U452" s="5"/>
    </row>
    <row r="453" spans="1:21" x14ac:dyDescent="0.25">
      <c r="A453" s="5"/>
      <c r="B453" s="5"/>
      <c r="C453" s="5"/>
      <c r="D453" s="5" t="str">
        <f>IF($C453="","",INDEX(PLAN_DESARROLLO!$B:$B,MATCH($C453,PLAN_DESARROLLO!$A:$A,0)))</f>
        <v/>
      </c>
      <c r="E453" s="5" t="str">
        <f>IF($C453="","",INDEX(PLAN_DESARROLLO!$C:$C,MATCH($C453,PLAN_DESARROLLO!$A:$A,0)))</f>
        <v/>
      </c>
      <c r="F453" s="5" t="str">
        <f>IF($C453="","",INDEX(PLAN_DESARROLLO!$D:$D,MATCH($C453,PLAN_DESARROLLO!$A:$A,0)))</f>
        <v/>
      </c>
      <c r="G453" s="5" t="str">
        <f>IF($C453="","",INDEX(PLAN_DESARROLLO!$E:$E,MATCH($C453,PLAN_DESARROLLO!$A:$A,0)))</f>
        <v/>
      </c>
      <c r="H453" s="12"/>
      <c r="I453" s="12"/>
      <c r="J453" s="6" t="str">
        <f t="shared" si="25"/>
        <v/>
      </c>
      <c r="K453" s="8"/>
      <c r="L453" s="8"/>
      <c r="M453" s="6" t="str">
        <f t="shared" si="26"/>
        <v/>
      </c>
      <c r="N453" s="5"/>
      <c r="O453" s="5"/>
      <c r="P453" s="5"/>
      <c r="Q453" s="5"/>
      <c r="R453" s="5"/>
      <c r="S453" s="5"/>
      <c r="T453" s="10" t="str">
        <f t="shared" ca="1" si="27"/>
        <v/>
      </c>
      <c r="U453" s="5"/>
    </row>
    <row r="454" spans="1:21" x14ac:dyDescent="0.25">
      <c r="A454" s="5"/>
      <c r="B454" s="5"/>
      <c r="C454" s="5"/>
      <c r="D454" s="5" t="str">
        <f>IF($C454="","",INDEX(PLAN_DESARROLLO!$B:$B,MATCH($C454,PLAN_DESARROLLO!$A:$A,0)))</f>
        <v/>
      </c>
      <c r="E454" s="5" t="str">
        <f>IF($C454="","",INDEX(PLAN_DESARROLLO!$C:$C,MATCH($C454,PLAN_DESARROLLO!$A:$A,0)))</f>
        <v/>
      </c>
      <c r="F454" s="5" t="str">
        <f>IF($C454="","",INDEX(PLAN_DESARROLLO!$D:$D,MATCH($C454,PLAN_DESARROLLO!$A:$A,0)))</f>
        <v/>
      </c>
      <c r="G454" s="5" t="str">
        <f>IF($C454="","",INDEX(PLAN_DESARROLLO!$E:$E,MATCH($C454,PLAN_DESARROLLO!$A:$A,0)))</f>
        <v/>
      </c>
      <c r="H454" s="12"/>
      <c r="I454" s="12"/>
      <c r="J454" s="6" t="str">
        <f t="shared" si="25"/>
        <v/>
      </c>
      <c r="K454" s="8"/>
      <c r="L454" s="8"/>
      <c r="M454" s="6" t="str">
        <f t="shared" si="26"/>
        <v/>
      </c>
      <c r="N454" s="5"/>
      <c r="O454" s="5"/>
      <c r="P454" s="5"/>
      <c r="Q454" s="5"/>
      <c r="R454" s="5"/>
      <c r="S454" s="5"/>
      <c r="T454" s="10" t="str">
        <f t="shared" ca="1" si="27"/>
        <v/>
      </c>
      <c r="U454" s="5"/>
    </row>
    <row r="455" spans="1:21" x14ac:dyDescent="0.25">
      <c r="A455" s="5"/>
      <c r="B455" s="5"/>
      <c r="C455" s="5"/>
      <c r="D455" s="5" t="str">
        <f>IF($C455="","",INDEX(PLAN_DESARROLLO!$B:$B,MATCH($C455,PLAN_DESARROLLO!$A:$A,0)))</f>
        <v/>
      </c>
      <c r="E455" s="5" t="str">
        <f>IF($C455="","",INDEX(PLAN_DESARROLLO!$C:$C,MATCH($C455,PLAN_DESARROLLO!$A:$A,0)))</f>
        <v/>
      </c>
      <c r="F455" s="5" t="str">
        <f>IF($C455="","",INDEX(PLAN_DESARROLLO!$D:$D,MATCH($C455,PLAN_DESARROLLO!$A:$A,0)))</f>
        <v/>
      </c>
      <c r="G455" s="5" t="str">
        <f>IF($C455="","",INDEX(PLAN_DESARROLLO!$E:$E,MATCH($C455,PLAN_DESARROLLO!$A:$A,0)))</f>
        <v/>
      </c>
      <c r="H455" s="12"/>
      <c r="I455" s="12"/>
      <c r="J455" s="6" t="str">
        <f t="shared" si="25"/>
        <v/>
      </c>
      <c r="K455" s="8"/>
      <c r="L455" s="8"/>
      <c r="M455" s="6" t="str">
        <f t="shared" si="26"/>
        <v/>
      </c>
      <c r="N455" s="5"/>
      <c r="O455" s="5"/>
      <c r="P455" s="5"/>
      <c r="Q455" s="5"/>
      <c r="R455" s="5"/>
      <c r="S455" s="5"/>
      <c r="T455" s="10" t="str">
        <f t="shared" ca="1" si="27"/>
        <v/>
      </c>
      <c r="U455" s="5"/>
    </row>
    <row r="456" spans="1:21" x14ac:dyDescent="0.25">
      <c r="A456" s="5"/>
      <c r="B456" s="5"/>
      <c r="C456" s="5"/>
      <c r="D456" s="5" t="str">
        <f>IF($C456="","",INDEX(PLAN_DESARROLLO!$B:$B,MATCH($C456,PLAN_DESARROLLO!$A:$A,0)))</f>
        <v/>
      </c>
      <c r="E456" s="5" t="str">
        <f>IF($C456="","",INDEX(PLAN_DESARROLLO!$C:$C,MATCH($C456,PLAN_DESARROLLO!$A:$A,0)))</f>
        <v/>
      </c>
      <c r="F456" s="5" t="str">
        <f>IF($C456="","",INDEX(PLAN_DESARROLLO!$D:$D,MATCH($C456,PLAN_DESARROLLO!$A:$A,0)))</f>
        <v/>
      </c>
      <c r="G456" s="5" t="str">
        <f>IF($C456="","",INDEX(PLAN_DESARROLLO!$E:$E,MATCH($C456,PLAN_DESARROLLO!$A:$A,0)))</f>
        <v/>
      </c>
      <c r="H456" s="12"/>
      <c r="I456" s="12"/>
      <c r="J456" s="6" t="str">
        <f t="shared" si="25"/>
        <v/>
      </c>
      <c r="K456" s="8"/>
      <c r="L456" s="8"/>
      <c r="M456" s="6" t="str">
        <f t="shared" si="26"/>
        <v/>
      </c>
      <c r="N456" s="5"/>
      <c r="O456" s="5"/>
      <c r="P456" s="5"/>
      <c r="Q456" s="5"/>
      <c r="R456" s="5"/>
      <c r="S456" s="5"/>
      <c r="T456" s="10" t="str">
        <f t="shared" ca="1" si="27"/>
        <v/>
      </c>
      <c r="U456" s="5"/>
    </row>
    <row r="457" spans="1:21" x14ac:dyDescent="0.25">
      <c r="A457" s="5"/>
      <c r="B457" s="5"/>
      <c r="C457" s="5"/>
      <c r="D457" s="5" t="str">
        <f>IF($C457="","",INDEX(PLAN_DESARROLLO!$B:$B,MATCH($C457,PLAN_DESARROLLO!$A:$A,0)))</f>
        <v/>
      </c>
      <c r="E457" s="5" t="str">
        <f>IF($C457="","",INDEX(PLAN_DESARROLLO!$C:$C,MATCH($C457,PLAN_DESARROLLO!$A:$A,0)))</f>
        <v/>
      </c>
      <c r="F457" s="5" t="str">
        <f>IF($C457="","",INDEX(PLAN_DESARROLLO!$D:$D,MATCH($C457,PLAN_DESARROLLO!$A:$A,0)))</f>
        <v/>
      </c>
      <c r="G457" s="5" t="str">
        <f>IF($C457="","",INDEX(PLAN_DESARROLLO!$E:$E,MATCH($C457,PLAN_DESARROLLO!$A:$A,0)))</f>
        <v/>
      </c>
      <c r="H457" s="12"/>
      <c r="I457" s="12"/>
      <c r="J457" s="6" t="str">
        <f t="shared" si="25"/>
        <v/>
      </c>
      <c r="K457" s="8"/>
      <c r="L457" s="8"/>
      <c r="M457" s="6" t="str">
        <f t="shared" si="26"/>
        <v/>
      </c>
      <c r="N457" s="5"/>
      <c r="O457" s="5"/>
      <c r="P457" s="5"/>
      <c r="Q457" s="5"/>
      <c r="R457" s="5"/>
      <c r="S457" s="5"/>
      <c r="T457" s="10" t="str">
        <f t="shared" ca="1" si="27"/>
        <v/>
      </c>
      <c r="U457" s="5"/>
    </row>
    <row r="458" spans="1:21" x14ac:dyDescent="0.25">
      <c r="A458" s="5"/>
      <c r="B458" s="5"/>
      <c r="C458" s="5"/>
      <c r="D458" s="5" t="str">
        <f>IF($C458="","",INDEX(PLAN_DESARROLLO!$B:$B,MATCH($C458,PLAN_DESARROLLO!$A:$A,0)))</f>
        <v/>
      </c>
      <c r="E458" s="5" t="str">
        <f>IF($C458="","",INDEX(PLAN_DESARROLLO!$C:$C,MATCH($C458,PLAN_DESARROLLO!$A:$A,0)))</f>
        <v/>
      </c>
      <c r="F458" s="5" t="str">
        <f>IF($C458="","",INDEX(PLAN_DESARROLLO!$D:$D,MATCH($C458,PLAN_DESARROLLO!$A:$A,0)))</f>
        <v/>
      </c>
      <c r="G458" s="5" t="str">
        <f>IF($C458="","",INDEX(PLAN_DESARROLLO!$E:$E,MATCH($C458,PLAN_DESARROLLO!$A:$A,0)))</f>
        <v/>
      </c>
      <c r="H458" s="12"/>
      <c r="I458" s="12"/>
      <c r="J458" s="6" t="str">
        <f t="shared" si="25"/>
        <v/>
      </c>
      <c r="K458" s="8"/>
      <c r="L458" s="8"/>
      <c r="M458" s="6" t="str">
        <f t="shared" si="26"/>
        <v/>
      </c>
      <c r="N458" s="5"/>
      <c r="O458" s="5"/>
      <c r="P458" s="5"/>
      <c r="Q458" s="5"/>
      <c r="R458" s="5"/>
      <c r="S458" s="5"/>
      <c r="T458" s="10" t="str">
        <f t="shared" ca="1" si="27"/>
        <v/>
      </c>
      <c r="U458" s="5"/>
    </row>
    <row r="459" spans="1:21" x14ac:dyDescent="0.25">
      <c r="A459" s="5"/>
      <c r="B459" s="5"/>
      <c r="C459" s="5"/>
      <c r="D459" s="5" t="str">
        <f>IF($C459="","",INDEX(PLAN_DESARROLLO!$B:$B,MATCH($C459,PLAN_DESARROLLO!$A:$A,0)))</f>
        <v/>
      </c>
      <c r="E459" s="5" t="str">
        <f>IF($C459="","",INDEX(PLAN_DESARROLLO!$C:$C,MATCH($C459,PLAN_DESARROLLO!$A:$A,0)))</f>
        <v/>
      </c>
      <c r="F459" s="5" t="str">
        <f>IF($C459="","",INDEX(PLAN_DESARROLLO!$D:$D,MATCH($C459,PLAN_DESARROLLO!$A:$A,0)))</f>
        <v/>
      </c>
      <c r="G459" s="5" t="str">
        <f>IF($C459="","",INDEX(PLAN_DESARROLLO!$E:$E,MATCH($C459,PLAN_DESARROLLO!$A:$A,0)))</f>
        <v/>
      </c>
      <c r="H459" s="12"/>
      <c r="I459" s="12"/>
      <c r="J459" s="6" t="str">
        <f t="shared" si="25"/>
        <v/>
      </c>
      <c r="K459" s="8"/>
      <c r="L459" s="8"/>
      <c r="M459" s="6" t="str">
        <f t="shared" si="26"/>
        <v/>
      </c>
      <c r="N459" s="5"/>
      <c r="O459" s="5"/>
      <c r="P459" s="5"/>
      <c r="Q459" s="5"/>
      <c r="R459" s="5"/>
      <c r="S459" s="5"/>
      <c r="T459" s="10" t="str">
        <f t="shared" ca="1" si="27"/>
        <v/>
      </c>
      <c r="U459" s="5"/>
    </row>
    <row r="460" spans="1:21" x14ac:dyDescent="0.25">
      <c r="A460" s="5"/>
      <c r="B460" s="5"/>
      <c r="C460" s="5"/>
      <c r="D460" s="5" t="str">
        <f>IF($C460="","",INDEX(PLAN_DESARROLLO!$B:$B,MATCH($C460,PLAN_DESARROLLO!$A:$A,0)))</f>
        <v/>
      </c>
      <c r="E460" s="5" t="str">
        <f>IF($C460="","",INDEX(PLAN_DESARROLLO!$C:$C,MATCH($C460,PLAN_DESARROLLO!$A:$A,0)))</f>
        <v/>
      </c>
      <c r="F460" s="5" t="str">
        <f>IF($C460="","",INDEX(PLAN_DESARROLLO!$D:$D,MATCH($C460,PLAN_DESARROLLO!$A:$A,0)))</f>
        <v/>
      </c>
      <c r="G460" s="5" t="str">
        <f>IF($C460="","",INDEX(PLAN_DESARROLLO!$E:$E,MATCH($C460,PLAN_DESARROLLO!$A:$A,0)))</f>
        <v/>
      </c>
      <c r="H460" s="12"/>
      <c r="I460" s="12"/>
      <c r="J460" s="6" t="str">
        <f t="shared" si="25"/>
        <v/>
      </c>
      <c r="K460" s="8"/>
      <c r="L460" s="8"/>
      <c r="M460" s="6" t="str">
        <f t="shared" si="26"/>
        <v/>
      </c>
      <c r="N460" s="5"/>
      <c r="O460" s="5"/>
      <c r="P460" s="5"/>
      <c r="Q460" s="5"/>
      <c r="R460" s="5"/>
      <c r="S460" s="5"/>
      <c r="T460" s="10" t="str">
        <f t="shared" ca="1" si="27"/>
        <v/>
      </c>
      <c r="U460" s="5"/>
    </row>
    <row r="461" spans="1:21" x14ac:dyDescent="0.25">
      <c r="A461" s="5"/>
      <c r="B461" s="5"/>
      <c r="C461" s="5"/>
      <c r="D461" s="5" t="str">
        <f>IF($C461="","",INDEX(PLAN_DESARROLLO!$B:$B,MATCH($C461,PLAN_DESARROLLO!$A:$A,0)))</f>
        <v/>
      </c>
      <c r="E461" s="5" t="str">
        <f>IF($C461="","",INDEX(PLAN_DESARROLLO!$C:$C,MATCH($C461,PLAN_DESARROLLO!$A:$A,0)))</f>
        <v/>
      </c>
      <c r="F461" s="5" t="str">
        <f>IF($C461="","",INDEX(PLAN_DESARROLLO!$D:$D,MATCH($C461,PLAN_DESARROLLO!$A:$A,0)))</f>
        <v/>
      </c>
      <c r="G461" s="5" t="str">
        <f>IF($C461="","",INDEX(PLAN_DESARROLLO!$E:$E,MATCH($C461,PLAN_DESARROLLO!$A:$A,0)))</f>
        <v/>
      </c>
      <c r="H461" s="12"/>
      <c r="I461" s="12"/>
      <c r="J461" s="6" t="str">
        <f t="shared" si="25"/>
        <v/>
      </c>
      <c r="K461" s="8"/>
      <c r="L461" s="8"/>
      <c r="M461" s="6" t="str">
        <f t="shared" si="26"/>
        <v/>
      </c>
      <c r="N461" s="5"/>
      <c r="O461" s="5"/>
      <c r="P461" s="5"/>
      <c r="Q461" s="5"/>
      <c r="R461" s="5"/>
      <c r="S461" s="5"/>
      <c r="T461" s="10" t="str">
        <f t="shared" ca="1" si="27"/>
        <v/>
      </c>
      <c r="U461" s="5"/>
    </row>
    <row r="462" spans="1:21" x14ac:dyDescent="0.25">
      <c r="A462" s="5"/>
      <c r="B462" s="5"/>
      <c r="C462" s="5"/>
      <c r="D462" s="5" t="str">
        <f>IF($C462="","",INDEX(PLAN_DESARROLLO!$B:$B,MATCH($C462,PLAN_DESARROLLO!$A:$A,0)))</f>
        <v/>
      </c>
      <c r="E462" s="5" t="str">
        <f>IF($C462="","",INDEX(PLAN_DESARROLLO!$C:$C,MATCH($C462,PLAN_DESARROLLO!$A:$A,0)))</f>
        <v/>
      </c>
      <c r="F462" s="5" t="str">
        <f>IF($C462="","",INDEX(PLAN_DESARROLLO!$D:$D,MATCH($C462,PLAN_DESARROLLO!$A:$A,0)))</f>
        <v/>
      </c>
      <c r="G462" s="5" t="str">
        <f>IF($C462="","",INDEX(PLAN_DESARROLLO!$E:$E,MATCH($C462,PLAN_DESARROLLO!$A:$A,0)))</f>
        <v/>
      </c>
      <c r="H462" s="12"/>
      <c r="I462" s="12"/>
      <c r="J462" s="6" t="str">
        <f t="shared" si="25"/>
        <v/>
      </c>
      <c r="K462" s="8"/>
      <c r="L462" s="8"/>
      <c r="M462" s="6" t="str">
        <f t="shared" si="26"/>
        <v/>
      </c>
      <c r="N462" s="5"/>
      <c r="O462" s="5"/>
      <c r="P462" s="5"/>
      <c r="Q462" s="5"/>
      <c r="R462" s="5"/>
      <c r="S462" s="5"/>
      <c r="T462" s="10" t="str">
        <f t="shared" ca="1" si="27"/>
        <v/>
      </c>
      <c r="U462" s="5"/>
    </row>
    <row r="463" spans="1:21" x14ac:dyDescent="0.25">
      <c r="A463" s="5"/>
      <c r="B463" s="5"/>
      <c r="C463" s="5"/>
      <c r="D463" s="5" t="str">
        <f>IF($C463="","",INDEX(PLAN_DESARROLLO!$B:$B,MATCH($C463,PLAN_DESARROLLO!$A:$A,0)))</f>
        <v/>
      </c>
      <c r="E463" s="5" t="str">
        <f>IF($C463="","",INDEX(PLAN_DESARROLLO!$C:$C,MATCH($C463,PLAN_DESARROLLO!$A:$A,0)))</f>
        <v/>
      </c>
      <c r="F463" s="5" t="str">
        <f>IF($C463="","",INDEX(PLAN_DESARROLLO!$D:$D,MATCH($C463,PLAN_DESARROLLO!$A:$A,0)))</f>
        <v/>
      </c>
      <c r="G463" s="5" t="str">
        <f>IF($C463="","",INDEX(PLAN_DESARROLLO!$E:$E,MATCH($C463,PLAN_DESARROLLO!$A:$A,0)))</f>
        <v/>
      </c>
      <c r="H463" s="12"/>
      <c r="I463" s="12"/>
      <c r="J463" s="6" t="str">
        <f t="shared" si="25"/>
        <v/>
      </c>
      <c r="K463" s="8"/>
      <c r="L463" s="8"/>
      <c r="M463" s="6" t="str">
        <f t="shared" si="26"/>
        <v/>
      </c>
      <c r="N463" s="5"/>
      <c r="O463" s="5"/>
      <c r="P463" s="5"/>
      <c r="Q463" s="5"/>
      <c r="R463" s="5"/>
      <c r="S463" s="5"/>
      <c r="T463" s="10" t="str">
        <f t="shared" ca="1" si="27"/>
        <v/>
      </c>
      <c r="U463" s="5"/>
    </row>
    <row r="464" spans="1:21" x14ac:dyDescent="0.25">
      <c r="A464" s="5"/>
      <c r="B464" s="5"/>
      <c r="C464" s="5"/>
      <c r="D464" s="5" t="str">
        <f>IF($C464="","",INDEX(PLAN_DESARROLLO!$B:$B,MATCH($C464,PLAN_DESARROLLO!$A:$A,0)))</f>
        <v/>
      </c>
      <c r="E464" s="5" t="str">
        <f>IF($C464="","",INDEX(PLAN_DESARROLLO!$C:$C,MATCH($C464,PLAN_DESARROLLO!$A:$A,0)))</f>
        <v/>
      </c>
      <c r="F464" s="5" t="str">
        <f>IF($C464="","",INDEX(PLAN_DESARROLLO!$D:$D,MATCH($C464,PLAN_DESARROLLO!$A:$A,0)))</f>
        <v/>
      </c>
      <c r="G464" s="5" t="str">
        <f>IF($C464="","",INDEX(PLAN_DESARROLLO!$E:$E,MATCH($C464,PLAN_DESARROLLO!$A:$A,0)))</f>
        <v/>
      </c>
      <c r="H464" s="12"/>
      <c r="I464" s="12"/>
      <c r="J464" s="6" t="str">
        <f t="shared" si="25"/>
        <v/>
      </c>
      <c r="K464" s="8"/>
      <c r="L464" s="8"/>
      <c r="M464" s="6" t="str">
        <f t="shared" si="26"/>
        <v/>
      </c>
      <c r="N464" s="5"/>
      <c r="O464" s="5"/>
      <c r="P464" s="5"/>
      <c r="Q464" s="5"/>
      <c r="R464" s="5"/>
      <c r="S464" s="5"/>
      <c r="T464" s="10" t="str">
        <f t="shared" ca="1" si="27"/>
        <v/>
      </c>
      <c r="U464" s="5"/>
    </row>
    <row r="465" spans="1:21" x14ac:dyDescent="0.25">
      <c r="A465" s="5"/>
      <c r="B465" s="5"/>
      <c r="C465" s="5"/>
      <c r="D465" s="5" t="str">
        <f>IF($C465="","",INDEX(PLAN_DESARROLLO!$B:$B,MATCH($C465,PLAN_DESARROLLO!$A:$A,0)))</f>
        <v/>
      </c>
      <c r="E465" s="5" t="str">
        <f>IF($C465="","",INDEX(PLAN_DESARROLLO!$C:$C,MATCH($C465,PLAN_DESARROLLO!$A:$A,0)))</f>
        <v/>
      </c>
      <c r="F465" s="5" t="str">
        <f>IF($C465="","",INDEX(PLAN_DESARROLLO!$D:$D,MATCH($C465,PLAN_DESARROLLO!$A:$A,0)))</f>
        <v/>
      </c>
      <c r="G465" s="5" t="str">
        <f>IF($C465="","",INDEX(PLAN_DESARROLLO!$E:$E,MATCH($C465,PLAN_DESARROLLO!$A:$A,0)))</f>
        <v/>
      </c>
      <c r="H465" s="12"/>
      <c r="I465" s="12"/>
      <c r="J465" s="6" t="str">
        <f t="shared" si="25"/>
        <v/>
      </c>
      <c r="K465" s="8"/>
      <c r="L465" s="8"/>
      <c r="M465" s="6" t="str">
        <f t="shared" si="26"/>
        <v/>
      </c>
      <c r="N465" s="5"/>
      <c r="O465" s="5"/>
      <c r="P465" s="5"/>
      <c r="Q465" s="5"/>
      <c r="R465" s="5"/>
      <c r="S465" s="5"/>
      <c r="T465" s="10" t="str">
        <f t="shared" ca="1" si="27"/>
        <v/>
      </c>
      <c r="U465" s="5"/>
    </row>
    <row r="466" spans="1:21" x14ac:dyDescent="0.25">
      <c r="A466" s="5"/>
      <c r="B466" s="5"/>
      <c r="C466" s="5"/>
      <c r="D466" s="5" t="str">
        <f>IF($C466="","",INDEX(PLAN_DESARROLLO!$B:$B,MATCH($C466,PLAN_DESARROLLO!$A:$A,0)))</f>
        <v/>
      </c>
      <c r="E466" s="5" t="str">
        <f>IF($C466="","",INDEX(PLAN_DESARROLLO!$C:$C,MATCH($C466,PLAN_DESARROLLO!$A:$A,0)))</f>
        <v/>
      </c>
      <c r="F466" s="5" t="str">
        <f>IF($C466="","",INDEX(PLAN_DESARROLLO!$D:$D,MATCH($C466,PLAN_DESARROLLO!$A:$A,0)))</f>
        <v/>
      </c>
      <c r="G466" s="5" t="str">
        <f>IF($C466="","",INDEX(PLAN_DESARROLLO!$E:$E,MATCH($C466,PLAN_DESARROLLO!$A:$A,0)))</f>
        <v/>
      </c>
      <c r="H466" s="12"/>
      <c r="I466" s="12"/>
      <c r="J466" s="6" t="str">
        <f t="shared" si="25"/>
        <v/>
      </c>
      <c r="K466" s="8"/>
      <c r="L466" s="8"/>
      <c r="M466" s="6" t="str">
        <f t="shared" si="26"/>
        <v/>
      </c>
      <c r="N466" s="5"/>
      <c r="O466" s="5"/>
      <c r="P466" s="5"/>
      <c r="Q466" s="5"/>
      <c r="R466" s="5"/>
      <c r="S466" s="5"/>
      <c r="T466" s="10" t="str">
        <f t="shared" ca="1" si="27"/>
        <v/>
      </c>
      <c r="U466" s="5"/>
    </row>
    <row r="467" spans="1:21" x14ac:dyDescent="0.25">
      <c r="A467" s="5"/>
      <c r="B467" s="5"/>
      <c r="C467" s="5"/>
      <c r="D467" s="5" t="str">
        <f>IF($C467="","",INDEX(PLAN_DESARROLLO!$B:$B,MATCH($C467,PLAN_DESARROLLO!$A:$A,0)))</f>
        <v/>
      </c>
      <c r="E467" s="5" t="str">
        <f>IF($C467="","",INDEX(PLAN_DESARROLLO!$C:$C,MATCH($C467,PLAN_DESARROLLO!$A:$A,0)))</f>
        <v/>
      </c>
      <c r="F467" s="5" t="str">
        <f>IF($C467="","",INDEX(PLAN_DESARROLLO!$D:$D,MATCH($C467,PLAN_DESARROLLO!$A:$A,0)))</f>
        <v/>
      </c>
      <c r="G467" s="5" t="str">
        <f>IF($C467="","",INDEX(PLAN_DESARROLLO!$E:$E,MATCH($C467,PLAN_DESARROLLO!$A:$A,0)))</f>
        <v/>
      </c>
      <c r="H467" s="12"/>
      <c r="I467" s="12"/>
      <c r="J467" s="6" t="str">
        <f t="shared" si="25"/>
        <v/>
      </c>
      <c r="K467" s="8"/>
      <c r="L467" s="8"/>
      <c r="M467" s="6" t="str">
        <f t="shared" si="26"/>
        <v/>
      </c>
      <c r="N467" s="5"/>
      <c r="O467" s="5"/>
      <c r="P467" s="5"/>
      <c r="Q467" s="5"/>
      <c r="R467" s="5"/>
      <c r="S467" s="5"/>
      <c r="T467" s="10" t="str">
        <f t="shared" ca="1" si="27"/>
        <v/>
      </c>
      <c r="U467" s="5"/>
    </row>
    <row r="468" spans="1:21" x14ac:dyDescent="0.25">
      <c r="A468" s="5"/>
      <c r="B468" s="5"/>
      <c r="C468" s="5"/>
      <c r="D468" s="5" t="str">
        <f>IF($C468="","",INDEX(PLAN_DESARROLLO!$B:$B,MATCH($C468,PLAN_DESARROLLO!$A:$A,0)))</f>
        <v/>
      </c>
      <c r="E468" s="5" t="str">
        <f>IF($C468="","",INDEX(PLAN_DESARROLLO!$C:$C,MATCH($C468,PLAN_DESARROLLO!$A:$A,0)))</f>
        <v/>
      </c>
      <c r="F468" s="5" t="str">
        <f>IF($C468="","",INDEX(PLAN_DESARROLLO!$D:$D,MATCH($C468,PLAN_DESARROLLO!$A:$A,0)))</f>
        <v/>
      </c>
      <c r="G468" s="5" t="str">
        <f>IF($C468="","",INDEX(PLAN_DESARROLLO!$E:$E,MATCH($C468,PLAN_DESARROLLO!$A:$A,0)))</f>
        <v/>
      </c>
      <c r="H468" s="12"/>
      <c r="I468" s="12"/>
      <c r="J468" s="6" t="str">
        <f t="shared" si="25"/>
        <v/>
      </c>
      <c r="K468" s="8"/>
      <c r="L468" s="8"/>
      <c r="M468" s="6" t="str">
        <f t="shared" si="26"/>
        <v/>
      </c>
      <c r="N468" s="5"/>
      <c r="O468" s="5"/>
      <c r="P468" s="5"/>
      <c r="Q468" s="5"/>
      <c r="R468" s="5"/>
      <c r="S468" s="5"/>
      <c r="T468" s="10" t="str">
        <f t="shared" ca="1" si="27"/>
        <v/>
      </c>
      <c r="U468" s="5"/>
    </row>
    <row r="469" spans="1:21" x14ac:dyDescent="0.25">
      <c r="A469" s="5"/>
      <c r="B469" s="5"/>
      <c r="C469" s="5"/>
      <c r="D469" s="5" t="str">
        <f>IF($C469="","",INDEX(PLAN_DESARROLLO!$B:$B,MATCH($C469,PLAN_DESARROLLO!$A:$A,0)))</f>
        <v/>
      </c>
      <c r="E469" s="5" t="str">
        <f>IF($C469="","",INDEX(PLAN_DESARROLLO!$C:$C,MATCH($C469,PLAN_DESARROLLO!$A:$A,0)))</f>
        <v/>
      </c>
      <c r="F469" s="5" t="str">
        <f>IF($C469="","",INDEX(PLAN_DESARROLLO!$D:$D,MATCH($C469,PLAN_DESARROLLO!$A:$A,0)))</f>
        <v/>
      </c>
      <c r="G469" s="5" t="str">
        <f>IF($C469="","",INDEX(PLAN_DESARROLLO!$E:$E,MATCH($C469,PLAN_DESARROLLO!$A:$A,0)))</f>
        <v/>
      </c>
      <c r="H469" s="12"/>
      <c r="I469" s="12"/>
      <c r="J469" s="6" t="str">
        <f t="shared" si="25"/>
        <v/>
      </c>
      <c r="K469" s="8"/>
      <c r="L469" s="8"/>
      <c r="M469" s="6" t="str">
        <f t="shared" si="26"/>
        <v/>
      </c>
      <c r="N469" s="5"/>
      <c r="O469" s="5"/>
      <c r="P469" s="5"/>
      <c r="Q469" s="5"/>
      <c r="R469" s="5"/>
      <c r="S469" s="5"/>
      <c r="T469" s="10" t="str">
        <f t="shared" ca="1" si="27"/>
        <v/>
      </c>
      <c r="U469" s="5"/>
    </row>
    <row r="470" spans="1:21" x14ac:dyDescent="0.25">
      <c r="A470" s="5"/>
      <c r="B470" s="5"/>
      <c r="C470" s="5"/>
      <c r="D470" s="5" t="str">
        <f>IF($C470="","",INDEX(PLAN_DESARROLLO!$B:$B,MATCH($C470,PLAN_DESARROLLO!$A:$A,0)))</f>
        <v/>
      </c>
      <c r="E470" s="5" t="str">
        <f>IF($C470="","",INDEX(PLAN_DESARROLLO!$C:$C,MATCH($C470,PLAN_DESARROLLO!$A:$A,0)))</f>
        <v/>
      </c>
      <c r="F470" s="5" t="str">
        <f>IF($C470="","",INDEX(PLAN_DESARROLLO!$D:$D,MATCH($C470,PLAN_DESARROLLO!$A:$A,0)))</f>
        <v/>
      </c>
      <c r="G470" s="5" t="str">
        <f>IF($C470="","",INDEX(PLAN_DESARROLLO!$E:$E,MATCH($C470,PLAN_DESARROLLO!$A:$A,0)))</f>
        <v/>
      </c>
      <c r="H470" s="12"/>
      <c r="I470" s="12"/>
      <c r="J470" s="6" t="str">
        <f t="shared" si="25"/>
        <v/>
      </c>
      <c r="K470" s="8"/>
      <c r="L470" s="8"/>
      <c r="M470" s="6" t="str">
        <f t="shared" si="26"/>
        <v/>
      </c>
      <c r="N470" s="5"/>
      <c r="O470" s="5"/>
      <c r="P470" s="5"/>
      <c r="Q470" s="5"/>
      <c r="R470" s="5"/>
      <c r="S470" s="5"/>
      <c r="T470" s="10" t="str">
        <f t="shared" ca="1" si="27"/>
        <v/>
      </c>
      <c r="U470" s="5"/>
    </row>
    <row r="471" spans="1:21" x14ac:dyDescent="0.25">
      <c r="A471" s="5"/>
      <c r="B471" s="5"/>
      <c r="C471" s="5"/>
      <c r="D471" s="5" t="str">
        <f>IF($C471="","",INDEX(PLAN_DESARROLLO!$B:$B,MATCH($C471,PLAN_DESARROLLO!$A:$A,0)))</f>
        <v/>
      </c>
      <c r="E471" s="5" t="str">
        <f>IF($C471="","",INDEX(PLAN_DESARROLLO!$C:$C,MATCH($C471,PLAN_DESARROLLO!$A:$A,0)))</f>
        <v/>
      </c>
      <c r="F471" s="5" t="str">
        <f>IF($C471="","",INDEX(PLAN_DESARROLLO!$D:$D,MATCH($C471,PLAN_DESARROLLO!$A:$A,0)))</f>
        <v/>
      </c>
      <c r="G471" s="5" t="str">
        <f>IF($C471="","",INDEX(PLAN_DESARROLLO!$E:$E,MATCH($C471,PLAN_DESARROLLO!$A:$A,0)))</f>
        <v/>
      </c>
      <c r="H471" s="12"/>
      <c r="I471" s="12"/>
      <c r="J471" s="6" t="str">
        <f t="shared" si="25"/>
        <v/>
      </c>
      <c r="K471" s="8"/>
      <c r="L471" s="8"/>
      <c r="M471" s="6" t="str">
        <f t="shared" si="26"/>
        <v/>
      </c>
      <c r="N471" s="5"/>
      <c r="O471" s="5"/>
      <c r="P471" s="5"/>
      <c r="Q471" s="5"/>
      <c r="R471" s="5"/>
      <c r="S471" s="5"/>
      <c r="T471" s="10" t="str">
        <f t="shared" ca="1" si="27"/>
        <v/>
      </c>
      <c r="U471" s="5"/>
    </row>
    <row r="472" spans="1:21" x14ac:dyDescent="0.25">
      <c r="A472" s="5"/>
      <c r="B472" s="5"/>
      <c r="C472" s="5"/>
      <c r="D472" s="5" t="str">
        <f>IF($C472="","",INDEX(PLAN_DESARROLLO!$B:$B,MATCH($C472,PLAN_DESARROLLO!$A:$A,0)))</f>
        <v/>
      </c>
      <c r="E472" s="5" t="str">
        <f>IF($C472="","",INDEX(PLAN_DESARROLLO!$C:$C,MATCH($C472,PLAN_DESARROLLO!$A:$A,0)))</f>
        <v/>
      </c>
      <c r="F472" s="5" t="str">
        <f>IF($C472="","",INDEX(PLAN_DESARROLLO!$D:$D,MATCH($C472,PLAN_DESARROLLO!$A:$A,0)))</f>
        <v/>
      </c>
      <c r="G472" s="5" t="str">
        <f>IF($C472="","",INDEX(PLAN_DESARROLLO!$E:$E,MATCH($C472,PLAN_DESARROLLO!$A:$A,0)))</f>
        <v/>
      </c>
      <c r="H472" s="12"/>
      <c r="I472" s="12"/>
      <c r="J472" s="6" t="str">
        <f t="shared" si="25"/>
        <v/>
      </c>
      <c r="K472" s="8"/>
      <c r="L472" s="8"/>
      <c r="M472" s="6" t="str">
        <f t="shared" si="26"/>
        <v/>
      </c>
      <c r="N472" s="5"/>
      <c r="O472" s="5"/>
      <c r="P472" s="5"/>
      <c r="Q472" s="5"/>
      <c r="R472" s="5"/>
      <c r="S472" s="5"/>
      <c r="T472" s="10" t="str">
        <f t="shared" ca="1" si="27"/>
        <v/>
      </c>
      <c r="U472" s="5"/>
    </row>
    <row r="473" spans="1:21" x14ac:dyDescent="0.25">
      <c r="A473" s="5"/>
      <c r="B473" s="5"/>
      <c r="C473" s="5"/>
      <c r="D473" s="5" t="str">
        <f>IF($C473="","",INDEX(PLAN_DESARROLLO!$B:$B,MATCH($C473,PLAN_DESARROLLO!$A:$A,0)))</f>
        <v/>
      </c>
      <c r="E473" s="5" t="str">
        <f>IF($C473="","",INDEX(PLAN_DESARROLLO!$C:$C,MATCH($C473,PLAN_DESARROLLO!$A:$A,0)))</f>
        <v/>
      </c>
      <c r="F473" s="5" t="str">
        <f>IF($C473="","",INDEX(PLAN_DESARROLLO!$D:$D,MATCH($C473,PLAN_DESARROLLO!$A:$A,0)))</f>
        <v/>
      </c>
      <c r="G473" s="5" t="str">
        <f>IF($C473="","",INDEX(PLAN_DESARROLLO!$E:$E,MATCH($C473,PLAN_DESARROLLO!$A:$A,0)))</f>
        <v/>
      </c>
      <c r="H473" s="12"/>
      <c r="I473" s="12"/>
      <c r="J473" s="6" t="str">
        <f t="shared" si="25"/>
        <v/>
      </c>
      <c r="K473" s="8"/>
      <c r="L473" s="8"/>
      <c r="M473" s="6" t="str">
        <f t="shared" si="26"/>
        <v/>
      </c>
      <c r="N473" s="5"/>
      <c r="O473" s="5"/>
      <c r="P473" s="5"/>
      <c r="Q473" s="5"/>
      <c r="R473" s="5"/>
      <c r="S473" s="5"/>
      <c r="T473" s="10" t="str">
        <f t="shared" ca="1" si="27"/>
        <v/>
      </c>
      <c r="U473" s="5"/>
    </row>
    <row r="474" spans="1:21" x14ac:dyDescent="0.25">
      <c r="A474" s="5"/>
      <c r="B474" s="5"/>
      <c r="C474" s="5"/>
      <c r="D474" s="5" t="str">
        <f>IF($C474="","",INDEX(PLAN_DESARROLLO!$B:$B,MATCH($C474,PLAN_DESARROLLO!$A:$A,0)))</f>
        <v/>
      </c>
      <c r="E474" s="5" t="str">
        <f>IF($C474="","",INDEX(PLAN_DESARROLLO!$C:$C,MATCH($C474,PLAN_DESARROLLO!$A:$A,0)))</f>
        <v/>
      </c>
      <c r="F474" s="5" t="str">
        <f>IF($C474="","",INDEX(PLAN_DESARROLLO!$D:$D,MATCH($C474,PLAN_DESARROLLO!$A:$A,0)))</f>
        <v/>
      </c>
      <c r="G474" s="5" t="str">
        <f>IF($C474="","",INDEX(PLAN_DESARROLLO!$E:$E,MATCH($C474,PLAN_DESARROLLO!$A:$A,0)))</f>
        <v/>
      </c>
      <c r="H474" s="12"/>
      <c r="I474" s="12"/>
      <c r="J474" s="6" t="str">
        <f t="shared" si="25"/>
        <v/>
      </c>
      <c r="K474" s="8"/>
      <c r="L474" s="8"/>
      <c r="M474" s="6" t="str">
        <f t="shared" si="26"/>
        <v/>
      </c>
      <c r="N474" s="5"/>
      <c r="O474" s="5"/>
      <c r="P474" s="5"/>
      <c r="Q474" s="5"/>
      <c r="R474" s="5"/>
      <c r="S474" s="5"/>
      <c r="T474" s="10" t="str">
        <f t="shared" ca="1" si="27"/>
        <v/>
      </c>
      <c r="U474" s="5"/>
    </row>
  </sheetData>
  <phoneticPr fontId="4" type="noConversion"/>
  <conditionalFormatting sqref="J2:J329 M141:M329 M394:M474 J394:J474">
    <cfRule type="cellIs" dxfId="8" priority="4" operator="greaterThanOrEqual">
      <formula>0.8</formula>
    </cfRule>
    <cfRule type="cellIs" dxfId="7" priority="5" operator="between">
      <formula>0.4</formula>
      <formula>0.799999</formula>
    </cfRule>
    <cfRule type="cellIs" dxfId="6" priority="6" operator="lessThan">
      <formula>0.4</formula>
    </cfRule>
  </conditionalFormatting>
  <conditionalFormatting sqref="M2:M139">
    <cfRule type="cellIs" dxfId="5" priority="31" operator="greaterThanOrEqual">
      <formula>0.8</formula>
    </cfRule>
    <cfRule type="cellIs" dxfId="4" priority="32" operator="between">
      <formula>0.4</formula>
      <formula>0.799999</formula>
    </cfRule>
    <cfRule type="cellIs" dxfId="3" priority="33" operator="lessThan">
      <formula>0.4</formula>
    </cfRule>
  </conditionalFormatting>
  <conditionalFormatting sqref="J330:J393 M330:M393">
    <cfRule type="cellIs" dxfId="2" priority="1" operator="greaterThanOrEqual">
      <formula>0.8</formula>
    </cfRule>
    <cfRule type="cellIs" dxfId="1" priority="2" operator="between">
      <formula>0.4</formula>
      <formula>0.799999</formula>
    </cfRule>
    <cfRule type="cellIs" dxfId="0" priority="3" operator="lessThan">
      <formula>0.4</formula>
    </cfRule>
  </conditionalFormatting>
  <pageMargins left="0.75" right="0.75" top="1" bottom="1" header="0.5" footer="0.5"/>
  <extLst>
    <ext xmlns:x14="http://schemas.microsoft.com/office/spreadsheetml/2009/9/main" uri="{CCE6A557-97BC-4b89-ADB6-D9C93CAAB3DF}">
      <x14:dataValidations xmlns:xm="http://schemas.microsoft.com/office/excel/2006/main" count="6">
        <x14:dataValidation type="list" xr:uid="{00000000-0002-0000-0400-000000000000}">
          <x14:formula1>
            <xm:f>LISTAS!$A$2:$A$3</xm:f>
          </x14:formula1>
          <xm:sqref>A2:A111 A394:A474</xm:sqref>
        </x14:dataValidation>
        <x14:dataValidation type="list" xr:uid="{00000000-0002-0000-0400-000001000000}">
          <x14:formula1>
            <xm:f>SECRETARIAS!$B$2:$B$6</xm:f>
          </x14:formula1>
          <xm:sqref>B2:B111 B394:B474</xm:sqref>
        </x14:dataValidation>
        <x14:dataValidation type="list" xr:uid="{00000000-0002-0000-0400-000002000000}">
          <x14:formula1>
            <xm:f>PLAN_DESARROLLO!$A$2:$A$199</xm:f>
          </x14:formula1>
          <xm:sqref>C2:C111 C394:C474</xm:sqref>
        </x14:dataValidation>
        <x14:dataValidation type="list" xr:uid="{00000000-0002-0000-0400-000003000000}">
          <x14:formula1>
            <xm:f>LISTAS!$B$2:$B$4</xm:f>
          </x14:formula1>
          <xm:sqref>P2:P111 P394:P474</xm:sqref>
        </x14:dataValidation>
        <x14:dataValidation type="list" xr:uid="{00000000-0002-0000-0400-000004000000}">
          <x14:formula1>
            <xm:f>LISTAS!$C$2:$C$10</xm:f>
          </x14:formula1>
          <xm:sqref>O2:O111 O394:O474</xm:sqref>
        </x14:dataValidation>
        <x14:dataValidation type="list" xr:uid="{00000000-0002-0000-0400-000005000000}">
          <x14:formula1>
            <xm:f>LISTAS!$D$2:$D$8</xm:f>
          </x14:formula1>
          <xm:sqref>Q2:Q111 Q394:Q474</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INSTRUCCIONES</vt:lpstr>
      <vt:lpstr>PLAN_DESARROLLO</vt:lpstr>
      <vt:lpstr>SECRETARIAS</vt:lpstr>
      <vt:lpstr>LISTAS</vt:lpstr>
      <vt:lpstr>REGISTRO_AVANCES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rafael perafan</cp:lastModifiedBy>
  <dcterms:created xsi:type="dcterms:W3CDTF">2026-01-02T20:36:05Z</dcterms:created>
  <dcterms:modified xsi:type="dcterms:W3CDTF">2026-02-07T00:32:56Z</dcterms:modified>
</cp:coreProperties>
</file>